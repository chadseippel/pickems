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D1080CBA-4E9B-4AA8-8010-71874299ED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3" i="1" l="1"/>
  <c r="X473" i="1"/>
  <c r="W473" i="1"/>
  <c r="V473" i="1"/>
  <c r="U473" i="1"/>
  <c r="T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Y473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O398" i="1" s="1"/>
  <c r="O437" i="1" s="1"/>
  <c r="D88" i="1"/>
  <c r="D129" i="1" s="1"/>
  <c r="D171" i="1" s="1"/>
  <c r="D208" i="1" s="1"/>
  <c r="D247" i="1" s="1"/>
  <c r="D286" i="1" s="1"/>
  <c r="D322" i="1" s="1"/>
  <c r="D360" i="1" s="1"/>
  <c r="D398" i="1" s="1"/>
  <c r="D437" i="1" s="1"/>
  <c r="H88" i="1"/>
  <c r="H129" i="1" s="1"/>
  <c r="H171" i="1" s="1"/>
  <c r="H208" i="1" s="1"/>
  <c r="H247" i="1" s="1"/>
  <c r="H286" i="1" s="1"/>
  <c r="H322" i="1" s="1"/>
  <c r="H360" i="1" s="1"/>
  <c r="H398" i="1" s="1"/>
  <c r="H437" i="1" s="1"/>
  <c r="L88" i="1"/>
  <c r="L129" i="1" s="1"/>
  <c r="L171" i="1" s="1"/>
  <c r="L208" i="1" s="1"/>
  <c r="L247" i="1" s="1"/>
  <c r="L286" i="1" s="1"/>
  <c r="L322" i="1" s="1"/>
  <c r="L360" i="1" s="1"/>
  <c r="L398" i="1" s="1"/>
  <c r="L437" i="1" s="1"/>
  <c r="P88" i="1"/>
  <c r="P129" i="1" s="1"/>
  <c r="P171" i="1" s="1"/>
  <c r="P208" i="1" s="1"/>
  <c r="P247" i="1" s="1"/>
  <c r="P286" i="1" s="1"/>
  <c r="P322" i="1" s="1"/>
  <c r="P360" i="1" s="1"/>
  <c r="P398" i="1" s="1"/>
  <c r="P437" i="1" s="1"/>
  <c r="T88" i="1"/>
  <c r="T129" i="1" s="1"/>
  <c r="T171" i="1" s="1"/>
  <c r="T208" i="1" s="1"/>
  <c r="T247" i="1" s="1"/>
  <c r="T286" i="1" s="1"/>
  <c r="T322" i="1" s="1"/>
  <c r="T360" i="1" s="1"/>
  <c r="T398" i="1" s="1"/>
  <c r="T437" i="1" s="1"/>
  <c r="G88" i="1"/>
  <c r="G129" i="1" s="1"/>
  <c r="G171" i="1" s="1"/>
  <c r="G208" i="1" s="1"/>
  <c r="G247" i="1" s="1"/>
  <c r="G286" i="1" s="1"/>
  <c r="G322" i="1" s="1"/>
  <c r="G360" i="1" s="1"/>
  <c r="G398" i="1" s="1"/>
  <c r="G437" i="1" s="1"/>
  <c r="S88" i="1"/>
  <c r="S129" i="1" s="1"/>
  <c r="S171" i="1" s="1"/>
  <c r="S208" i="1" s="1"/>
  <c r="S247" i="1" s="1"/>
  <c r="S286" i="1" s="1"/>
  <c r="S322" i="1" s="1"/>
  <c r="S360" i="1" s="1"/>
  <c r="S398" i="1" s="1"/>
  <c r="S437" i="1" s="1"/>
  <c r="E88" i="1"/>
  <c r="E129" i="1" s="1"/>
  <c r="E171" i="1" s="1"/>
  <c r="E208" i="1" s="1"/>
  <c r="E247" i="1" s="1"/>
  <c r="E286" i="1" s="1"/>
  <c r="E322" i="1" s="1"/>
  <c r="E360" i="1" s="1"/>
  <c r="E398" i="1" s="1"/>
  <c r="E437" i="1" s="1"/>
  <c r="I88" i="1"/>
  <c r="I129" i="1" s="1"/>
  <c r="I171" i="1" s="1"/>
  <c r="I208" i="1" s="1"/>
  <c r="I247" i="1" s="1"/>
  <c r="I286" i="1" s="1"/>
  <c r="I322" i="1" s="1"/>
  <c r="I360" i="1" s="1"/>
  <c r="I398" i="1" s="1"/>
  <c r="I437" i="1" s="1"/>
  <c r="M88" i="1"/>
  <c r="M129" i="1" s="1"/>
  <c r="M171" i="1" s="1"/>
  <c r="M208" i="1" s="1"/>
  <c r="M247" i="1" s="1"/>
  <c r="M286" i="1" s="1"/>
  <c r="M322" i="1" s="1"/>
  <c r="M360" i="1" s="1"/>
  <c r="M398" i="1" s="1"/>
  <c r="M437" i="1" s="1"/>
  <c r="Q88" i="1"/>
  <c r="Q129" i="1" s="1"/>
  <c r="Q171" i="1" s="1"/>
  <c r="Q208" i="1" s="1"/>
  <c r="Q247" i="1" s="1"/>
  <c r="Q286" i="1" s="1"/>
  <c r="Q322" i="1" s="1"/>
  <c r="Q360" i="1" s="1"/>
  <c r="Q398" i="1" s="1"/>
  <c r="Q437" i="1" s="1"/>
  <c r="U88" i="1"/>
  <c r="U129" i="1" s="1"/>
  <c r="U171" i="1" s="1"/>
  <c r="U208" i="1" s="1"/>
  <c r="U247" i="1" s="1"/>
  <c r="U286" i="1" s="1"/>
  <c r="U322" i="1" s="1"/>
  <c r="U360" i="1" s="1"/>
  <c r="U398" i="1" s="1"/>
  <c r="U437" i="1" s="1"/>
  <c r="C88" i="1"/>
  <c r="C129" i="1" s="1"/>
  <c r="C171" i="1" s="1"/>
  <c r="C208" i="1" s="1"/>
  <c r="C247" i="1" s="1"/>
  <c r="C286" i="1" s="1"/>
  <c r="C322" i="1" s="1"/>
  <c r="C360" i="1" s="1"/>
  <c r="C398" i="1" s="1"/>
  <c r="C437" i="1" s="1"/>
  <c r="K88" i="1"/>
  <c r="K129" i="1" s="1"/>
  <c r="K171" i="1" s="1"/>
  <c r="K208" i="1" s="1"/>
  <c r="K247" i="1" s="1"/>
  <c r="K286" i="1" s="1"/>
  <c r="K322" i="1" s="1"/>
  <c r="K360" i="1" s="1"/>
  <c r="K398" i="1" s="1"/>
  <c r="K437" i="1" s="1"/>
  <c r="W88" i="1"/>
  <c r="W129" i="1" s="1"/>
  <c r="W171" i="1" s="1"/>
  <c r="W208" i="1" s="1"/>
  <c r="W247" i="1" s="1"/>
  <c r="W286" i="1" s="1"/>
  <c r="W322" i="1" s="1"/>
  <c r="W360" i="1" s="1"/>
  <c r="W398" i="1" s="1"/>
  <c r="W437" i="1" s="1"/>
  <c r="F88" i="1"/>
  <c r="F129" i="1" s="1"/>
  <c r="F171" i="1" s="1"/>
  <c r="F208" i="1" s="1"/>
  <c r="F247" i="1" s="1"/>
  <c r="F286" i="1" s="1"/>
  <c r="F322" i="1" s="1"/>
  <c r="F360" i="1" s="1"/>
  <c r="F398" i="1" s="1"/>
  <c r="F437" i="1" s="1"/>
  <c r="J88" i="1"/>
  <c r="J129" i="1" s="1"/>
  <c r="J171" i="1" s="1"/>
  <c r="J208" i="1" s="1"/>
  <c r="J247" i="1" s="1"/>
  <c r="J286" i="1" s="1"/>
  <c r="J322" i="1" s="1"/>
  <c r="J360" i="1" s="1"/>
  <c r="J398" i="1" s="1"/>
  <c r="J437" i="1" s="1"/>
  <c r="N88" i="1"/>
  <c r="N129" i="1" s="1"/>
  <c r="N171" i="1" s="1"/>
  <c r="N208" i="1" s="1"/>
  <c r="N247" i="1" s="1"/>
  <c r="N286" i="1" s="1"/>
  <c r="N322" i="1" s="1"/>
  <c r="N360" i="1" s="1"/>
  <c r="N398" i="1" s="1"/>
  <c r="N437" i="1" s="1"/>
  <c r="R88" i="1"/>
  <c r="R129" i="1" s="1"/>
  <c r="R171" i="1" s="1"/>
  <c r="R208" i="1" s="1"/>
  <c r="R247" i="1" s="1"/>
  <c r="R286" i="1" s="1"/>
  <c r="R322" i="1" s="1"/>
  <c r="R360" i="1" s="1"/>
  <c r="R398" i="1" s="1"/>
  <c r="R437" i="1" s="1"/>
  <c r="V88" i="1"/>
  <c r="V129" i="1" s="1"/>
  <c r="V171" i="1" s="1"/>
  <c r="V208" i="1" s="1"/>
  <c r="V247" i="1" s="1"/>
  <c r="V286" i="1" s="1"/>
  <c r="V322" i="1" s="1"/>
  <c r="V360" i="1" s="1"/>
  <c r="V398" i="1" s="1"/>
  <c r="V437" i="1" s="1"/>
  <c r="Y88" i="1"/>
  <c r="Y129" i="1" s="1"/>
  <c r="Y171" i="1" s="1"/>
  <c r="Y208" i="1" s="1"/>
  <c r="Y247" i="1" s="1"/>
  <c r="Y286" i="1" s="1"/>
  <c r="Y322" i="1" s="1"/>
  <c r="Y360" i="1" s="1"/>
  <c r="Y398" i="1" s="1"/>
  <c r="Y437" i="1" s="1"/>
  <c r="X88" i="1"/>
  <c r="X129" i="1" s="1"/>
  <c r="X171" i="1" s="1"/>
  <c r="X208" i="1" s="1"/>
  <c r="X247" i="1" s="1"/>
  <c r="X286" i="1" s="1"/>
  <c r="X322" i="1" s="1"/>
  <c r="X360" i="1" s="1"/>
  <c r="X398" i="1" s="1"/>
  <c r="X437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1" i="1" s="1"/>
  <c r="A478" i="1" s="1"/>
  <c r="A520" i="1" l="1"/>
  <c r="A557" i="1" s="1"/>
  <c r="A560" i="1" s="1"/>
  <c r="A485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8" i="1"/>
  <c r="A511" i="1" s="1"/>
  <c r="A444" i="1"/>
  <c r="A469" i="1" s="1"/>
  <c r="A523" i="1" l="1"/>
  <c r="A548" i="1" s="1"/>
  <c r="A589" i="1" s="1"/>
  <c r="A598" i="1"/>
  <c r="A640" i="1" s="1"/>
  <c r="A647" i="1" s="1"/>
  <c r="A601" i="1" l="1"/>
  <c r="A606" i="1" s="1"/>
  <c r="A631" i="1" s="1"/>
  <c r="A658" i="1" l="1"/>
  <c r="A673" i="1" s="1"/>
  <c r="A682" i="1"/>
</calcChain>
</file>

<file path=xl/sharedStrings.xml><?xml version="1.0" encoding="utf-8"?>
<sst xmlns="http://schemas.openxmlformats.org/spreadsheetml/2006/main" count="1048" uniqueCount="446">
  <si>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</si>
  <si>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</si>
  <si>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</si>
  <si>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</si>
  <si>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</si>
  <si>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</si>
  <si>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</si>
  <si>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</si>
  <si>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</si>
  <si>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</si>
  <si>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</si>
  <si>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</si>
  <si>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</si>
  <si>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</si>
  <si>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</si>
  <si>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</si>
  <si>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</si>
  <si>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</si>
  <si>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</si>
  <si>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</si>
  <si>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</si>
  <si>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</si>
  <si>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</si>
  <si>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</si>
  <si>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</si>
  <si>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</si>
  <si>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</si>
  <si>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</si>
  <si>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</si>
  <si>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</si>
  <si>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</si>
  <si>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</si>
  <si>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</si>
  <si>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</si>
  <si>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</si>
  <si>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</si>
  <si>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</si>
  <si>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</si>
  <si>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</si>
  <si>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</si>
  <si>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</si>
  <si>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</si>
  <si>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</si>
  <si>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</si>
  <si>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</si>
  <si>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</si>
  <si>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</si>
  <si>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</si>
  <si>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</si>
  <si>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</si>
  <si>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</si>
  <si>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</si>
  <si>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</si>
  <si>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</si>
  <si>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</si>
  <si>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</si>
  <si>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</si>
  <si>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</si>
  <si>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</si>
  <si>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</si>
  <si>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</si>
  <si>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</si>
  <si>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</si>
  <si>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</si>
  <si>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</si>
  <si>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</si>
  <si>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</si>
  <si>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</si>
  <si>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</si>
  <si>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</si>
  <si>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</si>
  <si>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</si>
  <si>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</si>
  <si>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</si>
  <si>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</si>
  <si>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</si>
  <si>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</si>
  <si>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</si>
  <si>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</si>
  <si>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</si>
  <si>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</si>
  <si>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</si>
  <si>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</si>
  <si>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</si>
  <si>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</si>
  <si>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</si>
  <si>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</si>
  <si>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</si>
  <si>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</si>
  <si>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</si>
  <si>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</si>
  <si>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</si>
  <si>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</si>
  <si>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</si>
  <si>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</si>
  <si>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</si>
  <si>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</si>
  <si>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</si>
  <si>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</si>
  <si>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</si>
  <si>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</si>
  <si>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</si>
  <si>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</si>
  <si>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</si>
  <si>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</si>
  <si>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</si>
  <si>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</si>
  <si>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</si>
  <si>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</si>
  <si>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</si>
  <si>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</si>
  <si>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</si>
  <si>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</si>
  <si>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</si>
  <si>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</si>
  <si>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</si>
  <si>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</si>
  <si>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</si>
  <si>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</si>
  <si>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</si>
  <si>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</si>
  <si>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</si>
  <si>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</si>
  <si>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</si>
  <si>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</si>
  <si>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</si>
  <si>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</si>
  <si>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</si>
  <si>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</si>
  <si>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</si>
  <si>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</si>
  <si>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</si>
  <si>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</si>
  <si>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</si>
  <si>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</si>
  <si>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</si>
  <si>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</si>
  <si>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</si>
  <si>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</si>
  <si>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</si>
  <si>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</si>
  <si>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</si>
  <si>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</si>
  <si>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</si>
  <si>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</si>
  <si>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</si>
  <si>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</si>
  <si>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</si>
  <si>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</si>
  <si>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</si>
  <si>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</si>
  <si>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</si>
  <si>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</si>
  <si>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</si>
  <si>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</si>
  <si>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</si>
  <si>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</si>
  <si>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</si>
  <si>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</si>
  <si>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</si>
  <si>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</si>
  <si>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</si>
  <si>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</si>
  <si>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</si>
  <si>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</si>
  <si>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</si>
  <si>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</si>
  <si>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</si>
  <si>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</si>
  <si>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</si>
  <si>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</si>
  <si>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</si>
  <si>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</si>
  <si>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</si>
  <si>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</si>
  <si>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</si>
  <si>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</si>
  <si>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</si>
  <si>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</si>
  <si>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</si>
  <si>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</si>
  <si>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</si>
  <si>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</si>
  <si>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</si>
  <si>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</si>
  <si>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</si>
  <si>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</si>
  <si>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</si>
  <si>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</si>
  <si>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</si>
  <si>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</si>
  <si>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</si>
  <si>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</si>
  <si>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</si>
  <si>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</si>
  <si>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</si>
  <si>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</si>
  <si>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</si>
  <si>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</si>
  <si>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</si>
  <si>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</si>
  <si>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</si>
  <si>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</si>
  <si>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</si>
  <si>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</si>
  <si>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</si>
  <si>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</si>
  <si>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</si>
  <si>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</si>
  <si>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</si>
  <si>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</si>
  <si>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</si>
  <si>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</si>
  <si>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</si>
  <si>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</si>
  <si>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</si>
  <si>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</si>
  <si>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</si>
  <si>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</si>
  <si>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</si>
  <si>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</si>
  <si>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</si>
  <si>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</si>
  <si>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</si>
  <si>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</si>
  <si>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</si>
  <si>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</si>
  <si>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</si>
  <si>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</si>
  <si>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</si>
  <si>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</si>
  <si>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</si>
  <si>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</si>
  <si>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</si>
  <si>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</si>
  <si>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</si>
  <si>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</si>
  <si>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</si>
  <si>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</si>
  <si>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</si>
  <si>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</si>
  <si>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</si>
  <si>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</si>
  <si>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</si>
  <si>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</si>
  <si>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</si>
  <si>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</si>
  <si>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</si>
  <si>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</si>
  <si>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</si>
  <si>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</si>
  <si>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</si>
  <si>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</si>
  <si>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</si>
  <si>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</si>
  <si>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</si>
  <si>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</si>
  <si>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</si>
  <si>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</si>
  <si>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</si>
  <si>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</si>
  <si>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</si>
  <si>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</si>
  <si>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</si>
  <si>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</si>
  <si>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</si>
  <si>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</si>
  <si>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</si>
  <si>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</si>
  <si>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</si>
  <si>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</si>
  <si>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</si>
  <si>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</si>
  <si>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</si>
  <si>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</si>
  <si>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</si>
  <si>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</si>
  <si>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</si>
  <si>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</si>
  <si>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</si>
  <si>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</si>
  <si>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</si>
  <si>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</si>
  <si>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</si>
  <si>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</si>
  <si>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</si>
  <si>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</si>
  <si>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</si>
  <si>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</si>
  <si>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</si>
  <si>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</si>
  <si>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</si>
  <si>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</si>
  <si>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</si>
  <si>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</si>
  <si>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</si>
  <si>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</si>
  <si>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</si>
  <si>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</si>
  <si>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</si>
  <si>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</si>
  <si>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</si>
  <si>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</si>
  <si>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</si>
  <si>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</si>
  <si>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</si>
  <si>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</si>
  <si>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</si>
  <si>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</si>
  <si>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</si>
  <si>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</si>
  <si>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</si>
  <si>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</si>
  <si>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</si>
  <si>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</si>
  <si>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</si>
  <si>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</si>
  <si>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</si>
  <si>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</si>
  <si>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</si>
  <si>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</si>
  <si>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</si>
  <si>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</si>
  <si>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r>
      <t>Bye week:</t>
    </r>
    <r>
      <rPr>
        <sz val="15"/>
        <color rgb="FF303030"/>
        <rFont val="Georgia"/>
        <family val="1"/>
      </rPr>
      <t> Denver Broncos, Los Angeles Chargers, Miami Dolphins, Washington Commanders</t>
    </r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</si>
  <si>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</si>
  <si>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</si>
  <si>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</si>
  <si>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</si>
  <si>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</si>
  <si>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</si>
  <si>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</si>
  <si>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</si>
  <si>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</si>
  <si>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</si>
  <si>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</si>
  <si>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</si>
  <si>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</si>
  <si>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</si>
  <si>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</si>
  <si>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</si>
  <si>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</si>
  <si>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</si>
  <si>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</si>
  <si>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</si>
  <si>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</si>
  <si>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</si>
  <si>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</si>
  <si>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</si>
  <si>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</si>
  <si>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</si>
  <si>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</si>
  <si>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</si>
  <si>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</si>
  <si>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</si>
  <si>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</si>
  <si>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r>
      <t>Bye week:</t>
    </r>
    <r>
      <rPr>
        <sz val="15"/>
        <color rgb="FF303030"/>
        <rFont val="Georgia"/>
        <family val="1"/>
      </rPr>
      <t> Carolina Panthers, New England Patriots, New York Giants, San Francisco 49ers</t>
    </r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</si>
  <si>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</si>
  <si>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</si>
  <si>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</si>
  <si>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</si>
  <si>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</si>
  <si>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</si>
  <si>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</si>
  <si>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</si>
  <si>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</si>
  <si>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</si>
  <si>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</si>
  <si>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</si>
  <si>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</si>
  <si>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</si>
  <si>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</si>
  <si>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</si>
  <si>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</si>
  <si>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</si>
  <si>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</si>
  <si>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</si>
  <si>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</si>
  <si>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</si>
  <si>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</si>
  <si>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</si>
  <si>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</si>
  <si>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</si>
  <si>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</si>
  <si>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</si>
  <si>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</si>
  <si>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</si>
  <si>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</si>
  <si>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</si>
  <si>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</si>
  <si>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</si>
  <si>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</si>
  <si>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</si>
  <si>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</si>
  <si>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</si>
  <si>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</si>
  <si>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</si>
  <si>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</si>
  <si>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</si>
  <si>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</si>
  <si>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</si>
  <si>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</si>
  <si>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</si>
  <si>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</si>
  <si>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</si>
  <si>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</si>
  <si>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</si>
  <si>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</si>
  <si>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</si>
  <si>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</si>
  <si>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</si>
  <si>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</si>
  <si>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</si>
  <si>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</si>
  <si>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</si>
  <si>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</si>
  <si>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</si>
  <si>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</si>
  <si>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</si>
  <si>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</si>
  <si>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</si>
  <si>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</si>
  <si>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</si>
  <si>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</si>
  <si>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</si>
  <si>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</si>
  <si>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</si>
  <si>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</si>
  <si>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</si>
  <si>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</si>
  <si>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</si>
  <si>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</si>
  <si>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</si>
  <si>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</si>
  <si>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</si>
  <si>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</si>
  <si>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</si>
  <si>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</si>
  <si>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</si>
  <si>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</si>
  <si>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</si>
  <si>
    <r>
      <t>Bye week:</t>
    </r>
    <r>
      <rPr>
        <sz val="15"/>
        <color rgb="FFFF0000"/>
        <rFont val="Georgia"/>
        <family val="1"/>
      </rPr>
      <t> Cincinnati Bengals, Dallas Cowboys, Kansas City Chiefs, Tennessee Titans</t>
    </r>
  </si>
  <si>
    <t>Madrid, Spain</t>
  </si>
  <si>
    <t>paid chad and emma veno</t>
  </si>
  <si>
    <t>paid danny $5.00</t>
  </si>
  <si>
    <t>TOTALS</t>
  </si>
  <si>
    <t>paid $20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</si>
</sst>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9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Unify Sans"/>
    </font>
    <font>
      <sz val="10"/>
      <name val="Unify Sans"/>
    </font>
    <font>
      <b/>
      <sz val="10"/>
      <name val="Arial"/>
    </font>
    <font>
      <sz val="1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</borders>
  <cellStyleXfs count="4">
    <xf numFmtId="0" fontId="0" fillId="0" borderId="0"/>
    <xf numFmtId="0" fontId="44" fillId="0" borderId="0" applyNumberFormat="0" applyFill="0" applyBorder="0" applyAlignment="0" applyProtection="0"/>
    <xf numFmtId="0" fontId="68" fillId="0" borderId="0"/>
    <xf numFmtId="0" fontId="73" fillId="0" borderId="0"/>
  </cellStyleXfs>
  <cellXfs count="400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10" fillId="5" borderId="3" xfId="0" applyFont="1" applyFill="1" applyBorder="1"/>
    <xf numFmtId="0" fontId="26" fillId="3" borderId="21" xfId="0" applyFont="1" applyFill="1" applyBorder="1"/>
    <xf numFmtId="0" fontId="33" fillId="0" borderId="12" xfId="0" applyFont="1" applyBorder="1" applyAlignment="1">
      <alignment horizontal="center" vertical="top" wrapText="1"/>
    </xf>
    <xf numFmtId="0" fontId="33" fillId="0" borderId="13" xfId="0" applyFont="1" applyBorder="1" applyAlignment="1">
      <alignment horizontal="center" vertical="top" wrapText="1"/>
    </xf>
    <xf numFmtId="0" fontId="34" fillId="3" borderId="28" xfId="0" applyFont="1" applyFill="1" applyBorder="1"/>
    <xf numFmtId="0" fontId="34" fillId="3" borderId="0" xfId="0" applyFont="1" applyFill="1"/>
    <xf numFmtId="0" fontId="34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24" fillId="7" borderId="12" xfId="0" applyFont="1" applyFill="1" applyBorder="1" applyAlignment="1">
      <alignment horizontal="center" vertical="top" wrapText="1"/>
    </xf>
    <xf numFmtId="0" fontId="24" fillId="7" borderId="13" xfId="0" applyFont="1" applyFill="1" applyBorder="1" applyAlignment="1">
      <alignment horizontal="center" vertical="top" wrapText="1"/>
    </xf>
    <xf numFmtId="0" fontId="35" fillId="0" borderId="0" xfId="0" applyFont="1"/>
    <xf numFmtId="0" fontId="36" fillId="0" borderId="12" xfId="0" applyFont="1" applyBorder="1" applyAlignment="1">
      <alignment horizontal="center" vertical="top" wrapText="1"/>
    </xf>
    <xf numFmtId="0" fontId="36" fillId="0" borderId="13" xfId="0" applyFont="1" applyBorder="1" applyAlignment="1">
      <alignment horizontal="center" vertical="top" wrapText="1"/>
    </xf>
    <xf numFmtId="0" fontId="36" fillId="16" borderId="12" xfId="0" applyFont="1" applyFill="1" applyBorder="1" applyAlignment="1">
      <alignment horizontal="center" vertical="top" wrapText="1"/>
    </xf>
    <xf numFmtId="0" fontId="36" fillId="11" borderId="12" xfId="0" applyFont="1" applyFill="1" applyBorder="1" applyAlignment="1">
      <alignment horizontal="center" vertical="top" wrapText="1"/>
    </xf>
    <xf numFmtId="0" fontId="36" fillId="7" borderId="12" xfId="0" applyFont="1" applyFill="1" applyBorder="1" applyAlignment="1">
      <alignment horizontal="center" vertical="top" wrapText="1"/>
    </xf>
    <xf numFmtId="0" fontId="36" fillId="7" borderId="13" xfId="0" applyFont="1" applyFill="1" applyBorder="1" applyAlignment="1">
      <alignment horizontal="center" vertical="top" wrapText="1"/>
    </xf>
    <xf numFmtId="0" fontId="24" fillId="16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37" fillId="0" borderId="13" xfId="0" applyFont="1" applyBorder="1" applyAlignment="1">
      <alignment horizontal="center" vertical="top" wrapText="1"/>
    </xf>
    <xf numFmtId="0" fontId="37" fillId="7" borderId="13" xfId="0" applyFont="1" applyFill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37" fillId="0" borderId="12" xfId="0" applyFont="1" applyBorder="1" applyAlignment="1">
      <alignment horizontal="center" vertical="top" wrapText="1"/>
    </xf>
    <xf numFmtId="0" fontId="37" fillId="7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38" fillId="3" borderId="0" xfId="0" applyFont="1" applyFill="1"/>
    <xf numFmtId="0" fontId="38" fillId="3" borderId="28" xfId="0" applyFont="1" applyFill="1" applyBorder="1"/>
    <xf numFmtId="0" fontId="39" fillId="0" borderId="12" xfId="0" applyFont="1" applyBorder="1" applyAlignment="1">
      <alignment horizontal="center" vertical="top" wrapText="1"/>
    </xf>
    <xf numFmtId="0" fontId="39" fillId="0" borderId="13" xfId="0" applyFont="1" applyBorder="1" applyAlignment="1">
      <alignment horizontal="center" vertical="top" wrapText="1"/>
    </xf>
    <xf numFmtId="0" fontId="40" fillId="3" borderId="0" xfId="0" applyFont="1" applyFill="1"/>
    <xf numFmtId="0" fontId="40" fillId="3" borderId="28" xfId="0" applyFont="1" applyFill="1" applyBorder="1"/>
    <xf numFmtId="0" fontId="39" fillId="0" borderId="29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top" wrapText="1"/>
    </xf>
    <xf numFmtId="0" fontId="41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42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8" fillId="14" borderId="34" xfId="0" applyFont="1" applyFill="1" applyBorder="1" applyAlignment="1">
      <alignment horizontal="center"/>
    </xf>
    <xf numFmtId="1" fontId="43" fillId="0" borderId="0" xfId="0" applyNumberFormat="1" applyFont="1" applyAlignment="1">
      <alignment horizontal="center"/>
    </xf>
    <xf numFmtId="1" fontId="16" fillId="13" borderId="34" xfId="0" applyNumberFormat="1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4" fillId="0" borderId="37" xfId="1" applyBorder="1" applyAlignment="1">
      <alignment vertical="center" wrapText="1"/>
    </xf>
    <xf numFmtId="0" fontId="47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24" fillId="7" borderId="0" xfId="0" applyFont="1" applyFill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8" fillId="6" borderId="25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4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50" fillId="0" borderId="12" xfId="0" applyFont="1" applyBorder="1" applyAlignment="1">
      <alignment horizontal="center" vertical="top" wrapText="1"/>
    </xf>
    <xf numFmtId="0" fontId="50" fillId="0" borderId="13" xfId="0" applyFont="1" applyBorder="1" applyAlignment="1">
      <alignment horizontal="center" vertical="top" wrapText="1"/>
    </xf>
    <xf numFmtId="0" fontId="51" fillId="3" borderId="0" xfId="0" applyFont="1" applyFill="1"/>
    <xf numFmtId="0" fontId="51" fillId="3" borderId="28" xfId="0" applyFont="1" applyFill="1" applyBorder="1"/>
    <xf numFmtId="0" fontId="50" fillId="0" borderId="13" xfId="0" applyFont="1" applyBorder="1" applyAlignment="1">
      <alignment horizontal="center" vertical="top"/>
    </xf>
    <xf numFmtId="0" fontId="50" fillId="3" borderId="21" xfId="0" applyFont="1" applyFill="1" applyBorder="1" applyAlignment="1">
      <alignment horizontal="center"/>
    </xf>
    <xf numFmtId="0" fontId="50" fillId="0" borderId="12" xfId="0" applyFont="1" applyBorder="1" applyAlignment="1">
      <alignment horizontal="center" vertical="top"/>
    </xf>
    <xf numFmtId="0" fontId="50" fillId="3" borderId="28" xfId="0" applyFont="1" applyFill="1" applyBorder="1" applyAlignment="1">
      <alignment horizontal="center"/>
    </xf>
    <xf numFmtId="0" fontId="52" fillId="0" borderId="13" xfId="0" applyFont="1" applyBorder="1" applyAlignment="1">
      <alignment horizontal="center" vertical="top" wrapText="1"/>
    </xf>
    <xf numFmtId="0" fontId="53" fillId="0" borderId="12" xfId="0" applyFont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top" wrapText="1"/>
    </xf>
    <xf numFmtId="0" fontId="54" fillId="3" borderId="0" xfId="0" applyFont="1" applyFill="1"/>
    <xf numFmtId="0" fontId="54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52" fillId="0" borderId="12" xfId="0" applyFont="1" applyBorder="1" applyAlignment="1">
      <alignment horizontal="center" vertical="top" wrapText="1"/>
    </xf>
    <xf numFmtId="0" fontId="55" fillId="0" borderId="37" xfId="1" applyFont="1" applyBorder="1" applyAlignment="1">
      <alignment vertical="center" wrapText="1"/>
    </xf>
    <xf numFmtId="0" fontId="52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52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56" fillId="0" borderId="12" xfId="0" applyFont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 wrapText="1"/>
    </xf>
    <xf numFmtId="0" fontId="57" fillId="3" borderId="0" xfId="0" applyFont="1" applyFill="1"/>
    <xf numFmtId="0" fontId="56" fillId="15" borderId="12" xfId="0" applyFont="1" applyFill="1" applyBorder="1" applyAlignment="1">
      <alignment horizontal="center" vertical="top" wrapText="1"/>
    </xf>
    <xf numFmtId="0" fontId="58" fillId="5" borderId="0" xfId="0" applyFont="1" applyFill="1"/>
    <xf numFmtId="0" fontId="3" fillId="0" borderId="0" xfId="0" applyFont="1" applyAlignment="1">
      <alignment horizontal="center" vertical="center"/>
    </xf>
    <xf numFmtId="0" fontId="59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59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60" fillId="0" borderId="12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61" fillId="3" borderId="0" xfId="0" applyFont="1" applyFill="1"/>
    <xf numFmtId="0" fontId="32" fillId="5" borderId="0" xfId="0" applyFont="1" applyFill="1"/>
    <xf numFmtId="0" fontId="8" fillId="17" borderId="13" xfId="0" applyFont="1" applyFill="1" applyBorder="1" applyAlignment="1">
      <alignment horizontal="center" vertical="top" wrapText="1"/>
    </xf>
    <xf numFmtId="0" fontId="62" fillId="0" borderId="13" xfId="0" applyFont="1" applyBorder="1" applyAlignment="1">
      <alignment horizontal="center" vertical="top" wrapText="1"/>
    </xf>
    <xf numFmtId="0" fontId="62" fillId="0" borderId="12" xfId="0" applyFont="1" applyBorder="1" applyAlignment="1">
      <alignment horizontal="center" vertical="top" wrapText="1"/>
    </xf>
    <xf numFmtId="0" fontId="29" fillId="17" borderId="12" xfId="0" applyFont="1" applyFill="1" applyBorder="1" applyAlignment="1">
      <alignment horizontal="center" vertical="top" wrapText="1"/>
    </xf>
    <xf numFmtId="0" fontId="63" fillId="0" borderId="6" xfId="0" applyFont="1" applyBorder="1" applyAlignment="1">
      <alignment horizontal="center" vertical="top" wrapText="1"/>
    </xf>
    <xf numFmtId="0" fontId="63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63" fillId="0" borderId="5" xfId="0" applyFont="1" applyBorder="1" applyAlignment="1">
      <alignment horizontal="center" vertical="top" wrapText="1"/>
    </xf>
    <xf numFmtId="0" fontId="63" fillId="0" borderId="7" xfId="0" applyFont="1" applyBorder="1" applyAlignment="1">
      <alignment horizontal="center" vertical="top" wrapText="1"/>
    </xf>
    <xf numFmtId="0" fontId="64" fillId="5" borderId="1" xfId="0" applyFont="1" applyFill="1" applyBorder="1"/>
    <xf numFmtId="0" fontId="63" fillId="6" borderId="12" xfId="0" applyFont="1" applyFill="1" applyBorder="1" applyAlignment="1">
      <alignment horizontal="center" vertical="top" wrapText="1"/>
    </xf>
    <xf numFmtId="0" fontId="63" fillId="6" borderId="13" xfId="0" applyFont="1" applyFill="1" applyBorder="1" applyAlignment="1">
      <alignment horizontal="center" vertical="top" wrapText="1"/>
    </xf>
    <xf numFmtId="0" fontId="63" fillId="0" borderId="12" xfId="0" applyFont="1" applyBorder="1" applyAlignment="1">
      <alignment horizontal="center" vertical="top" wrapText="1"/>
    </xf>
    <xf numFmtId="0" fontId="63" fillId="0" borderId="13" xfId="0" applyFont="1" applyBorder="1" applyAlignment="1">
      <alignment horizontal="center" vertical="top" wrapText="1"/>
    </xf>
    <xf numFmtId="0" fontId="0" fillId="3" borderId="0" xfId="0" applyFill="1"/>
    <xf numFmtId="0" fontId="65" fillId="0" borderId="12" xfId="0" applyFont="1" applyBorder="1" applyAlignment="1">
      <alignment horizontal="center" vertical="top" wrapText="1"/>
    </xf>
    <xf numFmtId="0" fontId="65" fillId="0" borderId="13" xfId="0" applyFont="1" applyBorder="1" applyAlignment="1">
      <alignment horizontal="center" vertical="top" wrapText="1"/>
    </xf>
    <xf numFmtId="0" fontId="66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63" fillId="0" borderId="12" xfId="2" applyFont="1" applyBorder="1" applyAlignment="1">
      <alignment horizontal="center" vertical="top" wrapText="1"/>
    </xf>
    <xf numFmtId="0" fontId="63" fillId="0" borderId="13" xfId="2" applyFont="1" applyBorder="1" applyAlignment="1">
      <alignment horizontal="center" vertical="top" wrapText="1"/>
    </xf>
    <xf numFmtId="0" fontId="69" fillId="3" borderId="0" xfId="2" applyFont="1" applyFill="1"/>
    <xf numFmtId="0" fontId="69" fillId="3" borderId="28" xfId="2" applyFont="1" applyFill="1" applyBorder="1"/>
    <xf numFmtId="0" fontId="70" fillId="0" borderId="12" xfId="0" applyFont="1" applyBorder="1" applyAlignment="1">
      <alignment horizontal="center" vertical="top" wrapText="1"/>
    </xf>
    <xf numFmtId="0" fontId="70" fillId="0" borderId="13" xfId="0" applyFont="1" applyBorder="1" applyAlignment="1">
      <alignment horizontal="center" vertical="top" wrapText="1"/>
    </xf>
    <xf numFmtId="0" fontId="71" fillId="3" borderId="0" xfId="0" applyFont="1" applyFill="1"/>
    <xf numFmtId="0" fontId="71" fillId="3" borderId="28" xfId="0" applyFont="1" applyFill="1" applyBorder="1"/>
    <xf numFmtId="0" fontId="0" fillId="3" borderId="28" xfId="0" applyFill="1" applyBorder="1"/>
    <xf numFmtId="0" fontId="72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72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69" fillId="3" borderId="0" xfId="0" applyFont="1" applyFill="1"/>
    <xf numFmtId="0" fontId="74" fillId="3" borderId="0" xfId="0" applyFont="1" applyFill="1"/>
    <xf numFmtId="0" fontId="75" fillId="4" borderId="0" xfId="0" applyFont="1" applyFill="1" applyAlignment="1">
      <alignment horizontal="center" vertical="center" wrapText="1"/>
    </xf>
    <xf numFmtId="0" fontId="76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77" fillId="4" borderId="0" xfId="0" applyFont="1" applyFill="1" applyAlignment="1">
      <alignment horizontal="center"/>
    </xf>
    <xf numFmtId="0" fontId="63" fillId="6" borderId="5" xfId="0" applyFont="1" applyFill="1" applyBorder="1" applyAlignment="1">
      <alignment horizontal="center" vertical="top" wrapText="1"/>
    </xf>
    <xf numFmtId="0" fontId="63" fillId="6" borderId="7" xfId="0" applyFont="1" applyFill="1" applyBorder="1" applyAlignment="1">
      <alignment horizontal="center" vertical="top" wrapText="1"/>
    </xf>
    <xf numFmtId="0" fontId="78" fillId="0" borderId="12" xfId="0" applyFont="1" applyBorder="1" applyAlignment="1">
      <alignment horizontal="center" vertical="top" wrapText="1"/>
    </xf>
    <xf numFmtId="0" fontId="79" fillId="0" borderId="13" xfId="0" applyFont="1" applyBorder="1" applyAlignment="1">
      <alignment horizontal="center" vertical="top" wrapText="1"/>
    </xf>
    <xf numFmtId="0" fontId="80" fillId="3" borderId="0" xfId="0" applyFont="1" applyFill="1"/>
    <xf numFmtId="0" fontId="79" fillId="0" borderId="12" xfId="0" applyFont="1" applyBorder="1" applyAlignment="1">
      <alignment horizontal="center" vertical="top" wrapText="1"/>
    </xf>
    <xf numFmtId="0" fontId="78" fillId="0" borderId="13" xfId="0" applyFont="1" applyBorder="1" applyAlignment="1">
      <alignment horizontal="center" vertical="top" wrapText="1"/>
    </xf>
    <xf numFmtId="0" fontId="81" fillId="0" borderId="13" xfId="0" applyFont="1" applyBorder="1" applyAlignment="1">
      <alignment horizontal="center" vertical="top" wrapText="1"/>
    </xf>
    <xf numFmtId="0" fontId="80" fillId="0" borderId="0" xfId="0" applyFont="1"/>
    <xf numFmtId="0" fontId="80" fillId="0" borderId="12" xfId="0" applyFont="1" applyBorder="1" applyAlignment="1">
      <alignment vertical="top"/>
    </xf>
    <xf numFmtId="0" fontId="81" fillId="0" borderId="12" xfId="0" applyFont="1" applyBorder="1" applyAlignment="1">
      <alignment horizontal="center" vertical="top" wrapText="1"/>
    </xf>
    <xf numFmtId="0" fontId="80" fillId="0" borderId="13" xfId="0" applyFont="1" applyBorder="1" applyAlignment="1">
      <alignment vertical="top"/>
    </xf>
    <xf numFmtId="0" fontId="82" fillId="0" borderId="12" xfId="0" applyFont="1" applyBorder="1" applyAlignment="1">
      <alignment horizontal="center" vertical="top" wrapText="1"/>
    </xf>
    <xf numFmtId="0" fontId="82" fillId="0" borderId="13" xfId="0" applyFont="1" applyBorder="1" applyAlignment="1">
      <alignment horizontal="center" vertical="top" wrapText="1"/>
    </xf>
    <xf numFmtId="0" fontId="83" fillId="3" borderId="0" xfId="0" applyFont="1" applyFill="1"/>
    <xf numFmtId="0" fontId="84" fillId="0" borderId="12" xfId="0" applyFont="1" applyBorder="1" applyAlignment="1">
      <alignment vertical="top"/>
    </xf>
    <xf numFmtId="0" fontId="85" fillId="0" borderId="13" xfId="0" applyFont="1" applyBorder="1" applyAlignment="1">
      <alignment horizontal="center" vertical="top" wrapText="1"/>
    </xf>
    <xf numFmtId="0" fontId="84" fillId="0" borderId="0" xfId="0" applyFont="1"/>
    <xf numFmtId="0" fontId="85" fillId="0" borderId="12" xfId="0" applyFont="1" applyBorder="1" applyAlignment="1">
      <alignment horizontal="center" vertical="top" wrapText="1"/>
    </xf>
    <xf numFmtId="0" fontId="84" fillId="0" borderId="13" xfId="0" applyFont="1" applyBorder="1" applyAlignment="1">
      <alignment vertical="top"/>
    </xf>
    <xf numFmtId="0" fontId="86" fillId="4" borderId="0" xfId="0" applyFont="1" applyFill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87" fillId="4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88" fillId="0" borderId="12" xfId="0" applyFont="1" applyBorder="1" applyAlignment="1">
      <alignment horizontal="center" vertical="top" wrapText="1"/>
    </xf>
    <xf numFmtId="0" fontId="88" fillId="0" borderId="13" xfId="0" applyFont="1" applyBorder="1" applyAlignment="1">
      <alignment horizontal="center" vertical="top" wrapText="1"/>
    </xf>
    <xf numFmtId="0" fontId="89" fillId="3" borderId="28" xfId="0" applyFont="1" applyFill="1" applyBorder="1"/>
    <xf numFmtId="0" fontId="89" fillId="3" borderId="0" xfId="0" applyFont="1" applyFill="1"/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727</xdr:row>
      <xdr:rowOff>0</xdr:rowOff>
    </xdr:from>
    <xdr:to>
      <xdr:col>25</xdr:col>
      <xdr:colOff>9525</xdr:colOff>
      <xdr:row>728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9525</xdr:colOff>
      <xdr:row>693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9525</xdr:colOff>
      <xdr:row>693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9525</xdr:colOff>
      <xdr:row>726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9525</xdr:colOff>
      <xdr:row>726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9525</xdr:colOff>
      <xdr:row>690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9525</xdr:colOff>
      <xdr:row>690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9525</xdr:colOff>
      <xdr:row>727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9525</xdr:colOff>
      <xdr:row>715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9525</xdr:colOff>
      <xdr:row>715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9525</xdr:colOff>
      <xdr:row>712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9525</xdr:colOff>
      <xdr:row>712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8"/>
  <sheetViews>
    <sheetView showGridLines="0" tabSelected="1" zoomScaleNormal="100" workbookViewId="0">
      <pane xSplit="1" ySplit="8" topLeftCell="B440" activePane="bottomRight" state="frozen"/>
      <selection pane="topRight" activeCell="B1" sqref="B1"/>
      <selection pane="bottomLeft" activeCell="A9" sqref="A9"/>
      <selection pane="bottomRight" activeCell="O442" sqref="O442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9.140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381" t="s">
        <v>96</v>
      </c>
      <c r="B2" s="382"/>
      <c r="C2" s="382"/>
      <c r="D2" s="382"/>
      <c r="E2" s="382"/>
      <c r="F2" s="382"/>
      <c r="G2" s="382"/>
      <c r="H2" s="382"/>
      <c r="I2" s="382"/>
      <c r="J2" s="382"/>
      <c r="K2" s="383"/>
      <c r="L2" s="383"/>
      <c r="M2" s="383"/>
      <c r="N2" s="383"/>
      <c r="O2" s="383"/>
      <c r="P2" s="383"/>
      <c r="Q2" s="383"/>
      <c r="R2" s="383"/>
      <c r="S2" s="383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381" t="s">
        <v>422</v>
      </c>
      <c r="B4" s="383"/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411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408</v>
      </c>
      <c r="O6" s="4" t="s">
        <v>91</v>
      </c>
      <c r="P6" s="4" t="s">
        <v>90</v>
      </c>
      <c r="Q6" s="4" t="s">
        <v>409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407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445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412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42" t="s">
        <v>60</v>
      </c>
      <c r="B11" s="141"/>
      <c r="C11" s="142"/>
      <c r="D11" s="143"/>
      <c r="E11" s="144"/>
      <c r="F11" s="143"/>
      <c r="G11" s="143"/>
      <c r="H11" s="143"/>
      <c r="I11" s="143"/>
      <c r="J11" s="243"/>
      <c r="K11" s="143"/>
      <c r="L11" s="143" t="s">
        <v>413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44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238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219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239"/>
      <c r="Q13" s="235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218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45" t="s">
        <v>30</v>
      </c>
      <c r="B14" s="384" t="s">
        <v>410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46" t="s">
        <v>414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393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238">
        <v>8</v>
      </c>
      <c r="Q15" s="36"/>
      <c r="R15" s="162"/>
      <c r="S15" s="136"/>
      <c r="T15" s="74"/>
      <c r="U15" s="236"/>
      <c r="V15" s="36"/>
      <c r="W15" s="74"/>
      <c r="X15" s="74"/>
      <c r="Y15" s="34"/>
      <c r="Z15" s="109"/>
      <c r="AA15" s="146"/>
      <c r="AB15" s="218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40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219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237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219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47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48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46" t="s">
        <v>415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237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219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47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48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46" t="s">
        <v>416</v>
      </c>
      <c r="AC20" s="146"/>
      <c r="AD20" s="152"/>
      <c r="AE20" s="152"/>
      <c r="AF20" s="152"/>
      <c r="AG20" s="27"/>
    </row>
    <row r="21" spans="1:33" s="22" customFormat="1" ht="15" customHeight="1">
      <c r="A21" s="245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46" t="s">
        <v>417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41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219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45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46" t="s">
        <v>418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41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219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237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219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47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48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46" t="s">
        <v>419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237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219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47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48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46" t="s">
        <v>420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237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218" t="s">
        <v>100</v>
      </c>
      <c r="AC29" s="146"/>
    </row>
    <row r="30" spans="1:33" s="22" customFormat="1" ht="15" customHeight="1">
      <c r="A30" s="247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48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46" t="s">
        <v>421</v>
      </c>
      <c r="AC30" s="146"/>
    </row>
    <row r="31" spans="1:33" s="22" customFormat="1" ht="15" customHeight="1">
      <c r="A31" s="245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41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45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41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237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47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48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45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41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42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41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42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238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239"/>
      <c r="Q43" s="235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237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66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67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49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50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424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45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68"/>
      <c r="M51" s="141"/>
      <c r="N51" s="143"/>
      <c r="O51" s="143"/>
      <c r="P51" s="144">
        <v>1</v>
      </c>
      <c r="Q51" s="269"/>
      <c r="R51" s="269">
        <v>6</v>
      </c>
      <c r="S51" s="269"/>
      <c r="T51" s="145"/>
      <c r="U51" s="143"/>
      <c r="V51" s="144"/>
      <c r="W51" s="145">
        <v>7</v>
      </c>
      <c r="X51" s="145"/>
      <c r="Y51" s="141"/>
      <c r="Z51" s="146"/>
      <c r="AA51" s="146"/>
      <c r="AB51" s="270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61">
        <v>9</v>
      </c>
      <c r="R52" s="252"/>
      <c r="S52" s="255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218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62"/>
      <c r="R53" s="253"/>
      <c r="S53" s="256"/>
      <c r="T53" s="264"/>
      <c r="U53" s="264"/>
      <c r="V53" s="94"/>
      <c r="W53" s="264"/>
      <c r="X53" s="25"/>
      <c r="Y53" s="93"/>
      <c r="Z53" s="109"/>
      <c r="AA53" s="109"/>
      <c r="AB53" s="221" t="s">
        <v>158</v>
      </c>
      <c r="AC53" s="109"/>
    </row>
    <row r="54" spans="1:32" s="22" customFormat="1" ht="15" customHeight="1">
      <c r="A54" s="245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68"/>
      <c r="M54" s="141"/>
      <c r="N54" s="143"/>
      <c r="O54" s="143"/>
      <c r="P54" s="144"/>
      <c r="Q54" s="269"/>
      <c r="R54" s="269"/>
      <c r="S54" s="271"/>
      <c r="T54" s="145"/>
      <c r="U54" s="143"/>
      <c r="V54" s="144"/>
      <c r="W54" s="145"/>
      <c r="X54" s="145"/>
      <c r="Y54" s="141"/>
      <c r="Z54" s="146"/>
      <c r="AA54" s="146"/>
      <c r="AB54" s="244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61">
        <v>15</v>
      </c>
      <c r="R55" s="252">
        <v>15</v>
      </c>
      <c r="S55" s="252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221" t="s">
        <v>159</v>
      </c>
      <c r="AC55" s="146"/>
      <c r="AD55" s="134"/>
      <c r="AE55" s="134"/>
      <c r="AF55" s="134"/>
    </row>
    <row r="56" spans="1:32" s="22" customFormat="1" ht="15" customHeight="1">
      <c r="A56" s="245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68"/>
      <c r="M56" s="141"/>
      <c r="N56" s="143"/>
      <c r="O56" s="143"/>
      <c r="P56" s="144"/>
      <c r="Q56" s="269">
        <v>8</v>
      </c>
      <c r="R56" s="269"/>
      <c r="S56" s="269"/>
      <c r="T56" s="145"/>
      <c r="U56" s="143"/>
      <c r="V56" s="144"/>
      <c r="W56" s="145"/>
      <c r="X56" s="145"/>
      <c r="Y56" s="141"/>
      <c r="Z56" s="146"/>
      <c r="AA56" s="146"/>
      <c r="AB56" s="246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61"/>
      <c r="R57" s="252">
        <v>7</v>
      </c>
      <c r="S57" s="255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221" t="s">
        <v>161</v>
      </c>
      <c r="AC57" s="146"/>
      <c r="AD57" s="134"/>
      <c r="AE57" s="134"/>
      <c r="AF57" s="134"/>
    </row>
    <row r="58" spans="1:32" s="22" customFormat="1" ht="15" customHeight="1">
      <c r="A58" s="245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68"/>
      <c r="M58" s="141"/>
      <c r="N58" s="143"/>
      <c r="O58" s="143"/>
      <c r="P58" s="144"/>
      <c r="Q58" s="269"/>
      <c r="R58" s="269"/>
      <c r="S58" s="271"/>
      <c r="T58" s="145"/>
      <c r="U58" s="143"/>
      <c r="V58" s="144"/>
      <c r="W58" s="145"/>
      <c r="X58" s="145"/>
      <c r="Y58" s="141"/>
      <c r="Z58" s="146"/>
      <c r="AA58" s="146"/>
      <c r="AB58" s="246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61">
        <v>6</v>
      </c>
      <c r="R59" s="252">
        <v>12</v>
      </c>
      <c r="S59" s="252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221" t="s">
        <v>163</v>
      </c>
      <c r="AC59" s="146"/>
      <c r="AD59" s="134"/>
      <c r="AE59" s="134"/>
      <c r="AF59" s="134"/>
    </row>
    <row r="60" spans="1:32" s="22" customFormat="1" ht="15" customHeight="1">
      <c r="A60" s="245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68"/>
      <c r="M60" s="141"/>
      <c r="N60" s="143"/>
      <c r="O60" s="143"/>
      <c r="P60" s="144"/>
      <c r="Q60" s="269"/>
      <c r="R60" s="269"/>
      <c r="S60" s="271"/>
      <c r="T60" s="145"/>
      <c r="U60" s="143"/>
      <c r="V60" s="144"/>
      <c r="W60" s="145"/>
      <c r="X60" s="145"/>
      <c r="Y60" s="141"/>
      <c r="Z60" s="146"/>
      <c r="AA60" s="146"/>
      <c r="AB60" s="246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61">
        <v>13</v>
      </c>
      <c r="R61" s="252">
        <v>11</v>
      </c>
      <c r="S61" s="252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221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60">
        <v>7</v>
      </c>
      <c r="R62" s="251"/>
      <c r="S62" s="252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221" t="s">
        <v>166</v>
      </c>
      <c r="AC62" s="146"/>
      <c r="AD62" s="265"/>
      <c r="AE62" s="134"/>
      <c r="AF62" s="134"/>
    </row>
    <row r="63" spans="1:32" s="22" customFormat="1" ht="15" customHeight="1">
      <c r="A63" s="247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72">
        <v>6</v>
      </c>
      <c r="M63" s="147">
        <v>8</v>
      </c>
      <c r="N63" s="149">
        <v>1</v>
      </c>
      <c r="O63" s="149"/>
      <c r="P63" s="150">
        <v>4</v>
      </c>
      <c r="Q63" s="259"/>
      <c r="R63" s="259">
        <v>3</v>
      </c>
      <c r="S63" s="259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46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60">
        <v>14</v>
      </c>
      <c r="R64" s="251">
        <v>14</v>
      </c>
      <c r="S64" s="257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221" t="s">
        <v>168</v>
      </c>
      <c r="AC64" s="109"/>
      <c r="AD64" s="134"/>
      <c r="AE64" s="134"/>
      <c r="AF64" s="134"/>
    </row>
    <row r="65" spans="1:32" s="22" customFormat="1" ht="15" customHeight="1">
      <c r="A65" s="247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72"/>
      <c r="M65" s="147"/>
      <c r="N65" s="149"/>
      <c r="O65" s="149">
        <v>2</v>
      </c>
      <c r="P65" s="150">
        <v>5</v>
      </c>
      <c r="Q65" s="259"/>
      <c r="R65" s="259"/>
      <c r="S65" s="259"/>
      <c r="T65" s="151"/>
      <c r="U65" s="149"/>
      <c r="V65" s="150"/>
      <c r="W65" s="151"/>
      <c r="X65" s="151"/>
      <c r="Y65" s="147"/>
      <c r="Z65" s="146"/>
      <c r="AA65" s="146"/>
      <c r="AB65" s="246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60">
        <v>12</v>
      </c>
      <c r="R66" s="251">
        <v>16</v>
      </c>
      <c r="S66" s="251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221" t="s">
        <v>170</v>
      </c>
      <c r="AC66" s="146"/>
      <c r="AD66" s="134"/>
      <c r="AE66" s="134"/>
      <c r="AF66" s="134"/>
    </row>
    <row r="67" spans="1:32" s="22" customFormat="1" ht="15" customHeight="1">
      <c r="A67" s="247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72"/>
      <c r="M67" s="147"/>
      <c r="N67" s="149"/>
      <c r="O67" s="149"/>
      <c r="P67" s="150"/>
      <c r="Q67" s="259"/>
      <c r="R67" s="259"/>
      <c r="S67" s="273"/>
      <c r="T67" s="151"/>
      <c r="U67" s="149"/>
      <c r="V67" s="150"/>
      <c r="W67" s="151"/>
      <c r="X67" s="151"/>
      <c r="Y67" s="147"/>
      <c r="Z67" s="146"/>
      <c r="AA67" s="146"/>
      <c r="AB67" s="246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60"/>
      <c r="R68" s="251"/>
      <c r="S68" s="257"/>
      <c r="T68" s="75"/>
      <c r="U68" s="33"/>
      <c r="V68" s="37"/>
      <c r="W68" s="75"/>
      <c r="X68" s="75"/>
      <c r="Y68" s="30"/>
      <c r="Z68" s="134"/>
      <c r="AA68" s="134"/>
      <c r="AB68" s="218" t="s">
        <v>103</v>
      </c>
      <c r="AC68" s="134"/>
      <c r="AD68" s="134"/>
      <c r="AE68" s="134"/>
      <c r="AF68" s="134"/>
    </row>
    <row r="69" spans="1:32" s="22" customFormat="1" ht="15" customHeight="1">
      <c r="A69" s="247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72">
        <v>5</v>
      </c>
      <c r="M69" s="147">
        <v>6</v>
      </c>
      <c r="N69" s="149">
        <v>4</v>
      </c>
      <c r="O69" s="149">
        <v>9</v>
      </c>
      <c r="P69" s="150"/>
      <c r="Q69" s="259">
        <v>5</v>
      </c>
      <c r="R69" s="259">
        <v>5</v>
      </c>
      <c r="S69" s="259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46" t="s">
        <v>172</v>
      </c>
      <c r="AC69" s="132"/>
      <c r="AD69" s="274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60">
        <v>11</v>
      </c>
      <c r="R70" s="251">
        <v>10</v>
      </c>
      <c r="S70" s="251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221" t="s">
        <v>173</v>
      </c>
      <c r="AC70" s="134"/>
      <c r="AD70" s="265"/>
      <c r="AE70" s="134"/>
      <c r="AF70" s="134"/>
    </row>
    <row r="71" spans="1:32" s="22" customFormat="1" ht="15" customHeight="1">
      <c r="A71" s="247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72"/>
      <c r="M71" s="147"/>
      <c r="N71" s="149"/>
      <c r="O71" s="149"/>
      <c r="P71" s="150"/>
      <c r="Q71" s="259"/>
      <c r="R71" s="259"/>
      <c r="S71" s="273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45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68"/>
      <c r="M72" s="141"/>
      <c r="N72" s="143"/>
      <c r="O72" s="143"/>
      <c r="P72" s="144">
        <v>6</v>
      </c>
      <c r="Q72" s="269"/>
      <c r="R72" s="269"/>
      <c r="S72" s="271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61">
        <v>10</v>
      </c>
      <c r="R73" s="252">
        <v>13</v>
      </c>
      <c r="S73" s="252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45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68"/>
      <c r="M74" s="141"/>
      <c r="N74" s="143">
        <v>5</v>
      </c>
      <c r="O74" s="143">
        <v>8</v>
      </c>
      <c r="P74" s="144">
        <v>7</v>
      </c>
      <c r="Q74" s="269"/>
      <c r="R74" s="269">
        <v>4</v>
      </c>
      <c r="S74" s="269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61">
        <v>4</v>
      </c>
      <c r="R75" s="252"/>
      <c r="S75" s="255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60">
        <v>3</v>
      </c>
      <c r="R76" s="251">
        <v>1</v>
      </c>
      <c r="S76" s="257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47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72">
        <v>2</v>
      </c>
      <c r="M77" s="147"/>
      <c r="N77" s="149"/>
      <c r="O77" s="149"/>
      <c r="P77" s="150"/>
      <c r="Q77" s="259"/>
      <c r="R77" s="259"/>
      <c r="S77" s="259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60">
        <v>2</v>
      </c>
      <c r="R78" s="251"/>
      <c r="S78" s="251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66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72">
        <v>4</v>
      </c>
      <c r="M79" s="147">
        <v>4</v>
      </c>
      <c r="N79" s="149">
        <v>2</v>
      </c>
      <c r="O79" s="149">
        <v>10</v>
      </c>
      <c r="P79" s="150">
        <v>9</v>
      </c>
      <c r="Q79" s="259"/>
      <c r="R79" s="259">
        <v>9</v>
      </c>
      <c r="S79" s="259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63"/>
      <c r="R80" s="254"/>
      <c r="S80" s="258"/>
      <c r="T80" s="264"/>
      <c r="U80" s="264"/>
      <c r="V80" s="264"/>
      <c r="W80" s="264"/>
      <c r="X80" s="264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61">
        <v>1</v>
      </c>
      <c r="R81" s="252"/>
      <c r="S81" s="252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66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72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60">
        <v>16</v>
      </c>
      <c r="R83" s="251">
        <v>8</v>
      </c>
      <c r="S83" s="251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75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72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423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82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83"/>
      <c r="R92" s="144"/>
      <c r="S92" s="144"/>
      <c r="T92" s="145"/>
      <c r="U92" s="76"/>
      <c r="V92" s="283"/>
      <c r="W92" s="145"/>
      <c r="X92" s="145"/>
      <c r="Y92" s="143"/>
      <c r="AA92" s="132"/>
      <c r="AB92" s="270" t="s">
        <v>104</v>
      </c>
      <c r="AC92" s="146"/>
      <c r="AD92" s="284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78">
        <v>16</v>
      </c>
      <c r="R93" s="136">
        <v>16</v>
      </c>
      <c r="S93" s="136">
        <v>16</v>
      </c>
      <c r="T93" s="74">
        <v>15</v>
      </c>
      <c r="U93" s="77">
        <v>16</v>
      </c>
      <c r="V93" s="278">
        <v>16</v>
      </c>
      <c r="W93" s="74">
        <v>16</v>
      </c>
      <c r="X93" s="74">
        <v>16</v>
      </c>
      <c r="Y93" s="31">
        <v>16</v>
      </c>
      <c r="AA93" s="132"/>
      <c r="AB93" s="218" t="s">
        <v>105</v>
      </c>
      <c r="AC93" s="109"/>
      <c r="AD93" s="276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81"/>
      <c r="M94" s="60"/>
      <c r="N94" s="57"/>
      <c r="O94" s="57"/>
      <c r="P94" s="63"/>
      <c r="Q94" s="279"/>
      <c r="R94" s="137"/>
      <c r="S94" s="137"/>
      <c r="T94" s="137"/>
      <c r="U94" s="137"/>
      <c r="V94" s="279"/>
      <c r="W94" s="137"/>
      <c r="X94" s="63"/>
      <c r="Y94" s="93"/>
      <c r="AA94" s="134"/>
      <c r="AB94" s="221" t="s">
        <v>174</v>
      </c>
      <c r="AC94" s="109"/>
      <c r="AD94" s="276"/>
      <c r="AE94" s="134"/>
      <c r="AF94" s="134"/>
    </row>
    <row r="95" spans="1:32" s="22" customFormat="1" ht="15" customHeight="1">
      <c r="A95" s="245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83">
        <v>1</v>
      </c>
      <c r="R95" s="144">
        <v>7</v>
      </c>
      <c r="S95" s="144">
        <v>9</v>
      </c>
      <c r="T95" s="145">
        <v>8</v>
      </c>
      <c r="U95" s="145">
        <v>9</v>
      </c>
      <c r="V95" s="283">
        <v>10</v>
      </c>
      <c r="W95" s="145">
        <v>10</v>
      </c>
      <c r="X95" s="145">
        <v>10</v>
      </c>
      <c r="Y95" s="141">
        <v>11</v>
      </c>
      <c r="AA95" s="132"/>
      <c r="AB95" s="244" t="s">
        <v>106</v>
      </c>
      <c r="AC95" s="146"/>
      <c r="AD95" s="284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78"/>
      <c r="R96" s="136"/>
      <c r="S96" s="150"/>
      <c r="T96" s="74"/>
      <c r="U96" s="74"/>
      <c r="V96" s="278"/>
      <c r="W96" s="74"/>
      <c r="X96" s="74"/>
      <c r="Y96" s="31"/>
      <c r="AA96" s="134"/>
      <c r="AB96" s="221" t="s">
        <v>175</v>
      </c>
      <c r="AC96" s="146"/>
      <c r="AD96" s="276"/>
      <c r="AE96" s="134"/>
      <c r="AF96" s="134"/>
    </row>
    <row r="97" spans="1:32" s="22" customFormat="1" ht="15" customHeight="1">
      <c r="A97" s="245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83">
        <v>15</v>
      </c>
      <c r="R97" s="144">
        <v>15</v>
      </c>
      <c r="S97" s="144">
        <v>14</v>
      </c>
      <c r="T97" s="145">
        <v>14</v>
      </c>
      <c r="U97" s="154">
        <v>8</v>
      </c>
      <c r="V97" s="283">
        <v>15</v>
      </c>
      <c r="W97" s="145">
        <v>15</v>
      </c>
      <c r="X97" s="145">
        <v>12</v>
      </c>
      <c r="Y97" s="141">
        <v>15</v>
      </c>
      <c r="AA97" s="132"/>
      <c r="AB97" s="246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78"/>
      <c r="R98" s="136"/>
      <c r="S98" s="136"/>
      <c r="T98" s="74"/>
      <c r="U98" s="77"/>
      <c r="V98" s="278"/>
      <c r="W98" s="74"/>
      <c r="X98" s="74"/>
      <c r="Y98" s="31"/>
      <c r="Z98" s="128"/>
      <c r="AA98" s="132"/>
      <c r="AB98" s="221" t="s">
        <v>177</v>
      </c>
      <c r="AC98" s="128"/>
      <c r="AD98" s="276"/>
      <c r="AE98" s="134"/>
      <c r="AF98" s="134"/>
    </row>
    <row r="99" spans="1:32" s="22" customFormat="1" ht="15" customHeight="1">
      <c r="A99" s="245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83"/>
      <c r="R99" s="144"/>
      <c r="S99" s="144"/>
      <c r="T99" s="145"/>
      <c r="U99" s="145"/>
      <c r="V99" s="283">
        <v>1</v>
      </c>
      <c r="W99" s="145"/>
      <c r="X99" s="145"/>
      <c r="Y99" s="141"/>
      <c r="Z99" s="146"/>
      <c r="AA99" s="132"/>
      <c r="AB99" s="246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78">
        <v>2</v>
      </c>
      <c r="R100" s="136">
        <v>2</v>
      </c>
      <c r="S100" s="136">
        <v>1</v>
      </c>
      <c r="T100" s="74">
        <v>6</v>
      </c>
      <c r="U100" s="74">
        <v>1</v>
      </c>
      <c r="V100" s="278"/>
      <c r="W100" s="74">
        <v>2</v>
      </c>
      <c r="X100" s="74">
        <v>1</v>
      </c>
      <c r="Y100" s="31">
        <v>1</v>
      </c>
      <c r="Z100" s="109"/>
      <c r="AA100" s="134"/>
      <c r="AB100" s="221" t="s">
        <v>179</v>
      </c>
      <c r="AC100" s="109"/>
      <c r="AD100" s="43"/>
      <c r="AE100" s="134"/>
      <c r="AF100" s="134"/>
    </row>
    <row r="101" spans="1:32" s="22" customFormat="1" ht="15" customHeight="1">
      <c r="A101" s="245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83">
        <v>3</v>
      </c>
      <c r="R101" s="144"/>
      <c r="S101" s="144"/>
      <c r="T101" s="145"/>
      <c r="U101" s="145"/>
      <c r="V101" s="283"/>
      <c r="W101" s="145">
        <v>3</v>
      </c>
      <c r="X101" s="145"/>
      <c r="Y101" s="141"/>
      <c r="Z101" s="146"/>
      <c r="AA101" s="132"/>
      <c r="AB101" s="246" t="s">
        <v>180</v>
      </c>
      <c r="AC101" s="146"/>
      <c r="AD101" s="284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78"/>
      <c r="R102" s="136">
        <v>3</v>
      </c>
      <c r="S102" s="136">
        <v>3</v>
      </c>
      <c r="T102" s="74">
        <v>12</v>
      </c>
      <c r="U102" s="74">
        <v>7</v>
      </c>
      <c r="V102" s="278">
        <v>5</v>
      </c>
      <c r="W102" s="74"/>
      <c r="X102" s="74">
        <v>5</v>
      </c>
      <c r="Y102" s="31">
        <v>10</v>
      </c>
      <c r="Z102" s="146"/>
      <c r="AA102" s="134"/>
      <c r="AB102" s="221" t="s">
        <v>181</v>
      </c>
      <c r="AC102" s="146"/>
      <c r="AD102" s="276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77"/>
      <c r="R103" s="135">
        <v>4</v>
      </c>
      <c r="S103" s="144"/>
      <c r="T103" s="75">
        <v>4</v>
      </c>
      <c r="U103" s="75"/>
      <c r="V103" s="277">
        <v>2</v>
      </c>
      <c r="W103" s="75"/>
      <c r="X103" s="75"/>
      <c r="Y103" s="30">
        <v>5</v>
      </c>
      <c r="Z103" s="146"/>
      <c r="AA103" s="134"/>
      <c r="AB103" s="221" t="s">
        <v>182</v>
      </c>
      <c r="AC103" s="146"/>
      <c r="AD103" s="132"/>
      <c r="AE103" s="134"/>
      <c r="AF103" s="134"/>
    </row>
    <row r="104" spans="1:32" s="22" customFormat="1" ht="15" customHeight="1">
      <c r="A104" s="247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285">
        <v>4</v>
      </c>
      <c r="R104" s="150"/>
      <c r="S104" s="150">
        <v>6</v>
      </c>
      <c r="T104" s="151"/>
      <c r="U104" s="151">
        <v>4</v>
      </c>
      <c r="V104" s="285"/>
      <c r="W104" s="151">
        <v>4</v>
      </c>
      <c r="X104" s="151">
        <v>6</v>
      </c>
      <c r="Y104" s="147"/>
      <c r="Z104" s="146"/>
      <c r="AA104" s="132"/>
      <c r="AB104" s="246" t="s">
        <v>183</v>
      </c>
      <c r="AC104" s="146"/>
      <c r="AD104" s="284"/>
      <c r="AE104" s="132"/>
      <c r="AF104" s="132"/>
    </row>
    <row r="105" spans="1:32" s="22" customFormat="1" ht="15" customHeight="1">
      <c r="A105" s="245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83"/>
      <c r="R105" s="144"/>
      <c r="S105" s="144"/>
      <c r="T105" s="145"/>
      <c r="U105" s="145"/>
      <c r="V105" s="283"/>
      <c r="W105" s="145"/>
      <c r="X105" s="145"/>
      <c r="Y105" s="141"/>
      <c r="Z105" s="146"/>
      <c r="AB105" s="246" t="s">
        <v>184</v>
      </c>
      <c r="AC105" s="146"/>
      <c r="AD105" s="284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78">
        <v>10</v>
      </c>
      <c r="R106" s="136">
        <v>13</v>
      </c>
      <c r="S106" s="136">
        <v>8</v>
      </c>
      <c r="T106" s="74">
        <v>7</v>
      </c>
      <c r="U106" s="74">
        <v>15</v>
      </c>
      <c r="V106" s="278">
        <v>6</v>
      </c>
      <c r="W106" s="74">
        <v>9</v>
      </c>
      <c r="X106" s="74">
        <v>4</v>
      </c>
      <c r="Y106" s="31">
        <v>12</v>
      </c>
      <c r="Z106" s="146"/>
      <c r="AA106" s="1"/>
      <c r="AB106" s="221" t="s">
        <v>185</v>
      </c>
      <c r="AC106" s="146"/>
      <c r="AD106" s="43"/>
      <c r="AE106" s="134"/>
      <c r="AF106" s="134"/>
    </row>
    <row r="107" spans="1:32" s="22" customFormat="1" ht="15" customHeight="1">
      <c r="A107" s="245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83"/>
      <c r="R107" s="144"/>
      <c r="S107" s="144"/>
      <c r="T107" s="145"/>
      <c r="U107" s="145"/>
      <c r="V107" s="283"/>
      <c r="W107" s="145"/>
      <c r="X107" s="145"/>
      <c r="Y107" s="141"/>
      <c r="Z107" s="146"/>
      <c r="AB107" s="246" t="s">
        <v>186</v>
      </c>
      <c r="AC107" s="146"/>
      <c r="AD107" s="284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78">
        <v>12</v>
      </c>
      <c r="R108" s="136">
        <v>12</v>
      </c>
      <c r="S108" s="136">
        <v>13</v>
      </c>
      <c r="T108" s="74">
        <v>13</v>
      </c>
      <c r="U108" s="74">
        <v>14</v>
      </c>
      <c r="V108" s="278">
        <v>11</v>
      </c>
      <c r="W108" s="74">
        <v>14</v>
      </c>
      <c r="X108" s="74">
        <v>11</v>
      </c>
      <c r="Y108" s="31">
        <v>14</v>
      </c>
      <c r="Z108" s="146"/>
      <c r="AA108" s="1"/>
      <c r="AB108" s="221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77">
        <v>11</v>
      </c>
      <c r="R109" s="135">
        <v>8</v>
      </c>
      <c r="S109" s="135">
        <v>7</v>
      </c>
      <c r="T109" s="75">
        <v>11</v>
      </c>
      <c r="U109" s="75"/>
      <c r="V109" s="277">
        <v>12</v>
      </c>
      <c r="W109" s="75">
        <v>5</v>
      </c>
      <c r="X109" s="75">
        <v>8</v>
      </c>
      <c r="Y109" s="30">
        <v>7</v>
      </c>
      <c r="Z109" s="109"/>
      <c r="AA109" s="1"/>
      <c r="AB109" s="221" t="s">
        <v>188</v>
      </c>
      <c r="AC109" s="109"/>
    </row>
    <row r="110" spans="1:32" s="22" customFormat="1" ht="15" customHeight="1">
      <c r="A110" s="247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285"/>
      <c r="R110" s="150"/>
      <c r="S110" s="150"/>
      <c r="T110" s="151"/>
      <c r="U110" s="151">
        <v>5</v>
      </c>
      <c r="V110" s="285"/>
      <c r="W110" s="151"/>
      <c r="X110" s="151"/>
      <c r="Y110" s="147"/>
      <c r="Z110" s="146"/>
      <c r="AB110" s="244" t="s">
        <v>107</v>
      </c>
      <c r="AC110" s="146"/>
    </row>
    <row r="111" spans="1:32" s="22" customFormat="1" ht="15" customHeight="1">
      <c r="A111" s="245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83"/>
      <c r="R111" s="144"/>
      <c r="S111" s="144"/>
      <c r="T111" s="145"/>
      <c r="U111" s="145">
        <v>6</v>
      </c>
      <c r="V111" s="283">
        <v>4</v>
      </c>
      <c r="W111" s="145"/>
      <c r="X111" s="145"/>
      <c r="Y111" s="141"/>
      <c r="Z111" s="146"/>
      <c r="AB111" s="246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78">
        <v>8</v>
      </c>
      <c r="R112" s="136">
        <v>10</v>
      </c>
      <c r="S112" s="136">
        <v>12</v>
      </c>
      <c r="T112" s="74">
        <v>9</v>
      </c>
      <c r="U112" s="74"/>
      <c r="V112" s="278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45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83"/>
      <c r="R113" s="144"/>
      <c r="S113" s="144"/>
      <c r="T113" s="145"/>
      <c r="U113" s="145"/>
      <c r="V113" s="283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78">
        <v>5</v>
      </c>
      <c r="R114" s="136">
        <v>6</v>
      </c>
      <c r="S114" s="136">
        <v>4</v>
      </c>
      <c r="T114" s="74">
        <v>3</v>
      </c>
      <c r="U114" s="74">
        <v>3</v>
      </c>
      <c r="V114" s="278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45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83"/>
      <c r="R115" s="144"/>
      <c r="S115" s="144"/>
      <c r="T115" s="145"/>
      <c r="U115" s="145"/>
      <c r="V115" s="283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78">
        <v>13</v>
      </c>
      <c r="R116" s="136">
        <v>14</v>
      </c>
      <c r="S116" s="136">
        <v>15</v>
      </c>
      <c r="T116" s="74">
        <v>2</v>
      </c>
      <c r="U116" s="74">
        <v>11</v>
      </c>
      <c r="V116" s="278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45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83">
        <v>7</v>
      </c>
      <c r="R117" s="144">
        <v>1</v>
      </c>
      <c r="S117" s="144">
        <v>5</v>
      </c>
      <c r="T117" s="145">
        <v>5</v>
      </c>
      <c r="U117" s="145">
        <v>13</v>
      </c>
      <c r="V117" s="283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78"/>
      <c r="R118" s="136"/>
      <c r="S118" s="136"/>
      <c r="T118" s="74"/>
      <c r="U118" s="74"/>
      <c r="V118" s="278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45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83"/>
      <c r="R119" s="144"/>
      <c r="S119" s="144"/>
      <c r="T119" s="145">
        <v>1</v>
      </c>
      <c r="U119" s="145">
        <v>12</v>
      </c>
      <c r="V119" s="283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78">
        <v>6</v>
      </c>
      <c r="R120" s="136">
        <v>5</v>
      </c>
      <c r="S120" s="136">
        <v>10</v>
      </c>
      <c r="T120" s="74"/>
      <c r="U120" s="74"/>
      <c r="V120" s="278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222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77">
        <v>14</v>
      </c>
      <c r="R121" s="135">
        <v>11</v>
      </c>
      <c r="S121" s="135">
        <v>11</v>
      </c>
      <c r="T121" s="75">
        <v>10</v>
      </c>
      <c r="U121" s="75"/>
      <c r="V121" s="277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286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83"/>
      <c r="R122" s="144"/>
      <c r="S122" s="144"/>
      <c r="T122" s="145"/>
      <c r="U122" s="154">
        <v>2</v>
      </c>
      <c r="V122" s="283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81"/>
      <c r="M123" s="60"/>
      <c r="N123" s="57"/>
      <c r="O123" s="57"/>
      <c r="P123" s="63"/>
      <c r="Q123" s="279"/>
      <c r="R123" s="137"/>
      <c r="S123" s="137"/>
      <c r="T123" s="137"/>
      <c r="U123" s="137"/>
      <c r="V123" s="279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77"/>
      <c r="R124" s="135"/>
      <c r="S124" s="135"/>
      <c r="T124" s="75">
        <v>16</v>
      </c>
      <c r="U124" s="75"/>
      <c r="V124" s="280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47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287"/>
      <c r="Q125" s="287">
        <v>9</v>
      </c>
      <c r="R125" s="287">
        <v>9</v>
      </c>
      <c r="S125" s="287">
        <v>2</v>
      </c>
      <c r="T125" s="288"/>
      <c r="U125" s="153">
        <v>10</v>
      </c>
      <c r="V125" s="289">
        <v>3</v>
      </c>
      <c r="W125" s="290">
        <v>11</v>
      </c>
      <c r="X125" s="290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427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293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237">
        <v>9</v>
      </c>
      <c r="W134" s="75">
        <v>6</v>
      </c>
      <c r="X134" s="75"/>
      <c r="Y134" s="33">
        <v>10</v>
      </c>
      <c r="AA134" s="1"/>
      <c r="AB134" s="220" t="s">
        <v>2</v>
      </c>
      <c r="AC134" s="109"/>
    </row>
    <row r="135" spans="1:33" s="22" customFormat="1" ht="15" customHeight="1">
      <c r="A135" s="297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44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295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221" t="s">
        <v>190</v>
      </c>
      <c r="AC136" s="109"/>
    </row>
    <row r="137" spans="1:33" s="22" customFormat="1" ht="15" customHeight="1">
      <c r="A137" s="245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44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294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292"/>
      <c r="W138" s="74"/>
      <c r="X138" s="74"/>
      <c r="Y138" s="34"/>
      <c r="AB138" s="221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45" t="s">
        <v>31</v>
      </c>
      <c r="B139" s="386" t="s">
        <v>425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46" t="s">
        <v>192</v>
      </c>
      <c r="AC139" s="146"/>
      <c r="AD139" s="274"/>
      <c r="AE139" s="132"/>
      <c r="AF139" s="132"/>
      <c r="AG139" s="132"/>
    </row>
    <row r="140" spans="1:33" s="22" customFormat="1" ht="15" customHeight="1">
      <c r="A140" s="7" t="s">
        <v>56</v>
      </c>
      <c r="B140" s="387"/>
      <c r="C140" s="29">
        <v>3</v>
      </c>
      <c r="D140" s="34">
        <v>11</v>
      </c>
      <c r="E140" s="36">
        <v>11</v>
      </c>
      <c r="F140" s="34"/>
      <c r="G140" s="34">
        <v>2</v>
      </c>
      <c r="H140" s="294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292"/>
      <c r="W140" s="74"/>
      <c r="X140" s="74">
        <v>5</v>
      </c>
      <c r="Y140" s="34">
        <v>4</v>
      </c>
      <c r="Z140" s="146"/>
      <c r="AB140" s="221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45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298"/>
      <c r="W141" s="145"/>
      <c r="X141" s="145"/>
      <c r="Y141" s="143"/>
      <c r="Z141" s="146"/>
      <c r="AA141" s="146"/>
      <c r="AB141" s="246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294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237">
        <v>16</v>
      </c>
      <c r="W142" s="74">
        <v>15</v>
      </c>
      <c r="X142" s="74">
        <v>16</v>
      </c>
      <c r="Y142" s="34">
        <v>16</v>
      </c>
      <c r="Z142" s="109"/>
      <c r="AA142" s="146"/>
      <c r="AB142" s="221" t="s">
        <v>195</v>
      </c>
      <c r="AC142" s="109"/>
      <c r="AD142" s="291"/>
      <c r="AE142" s="134"/>
      <c r="AF142" s="134"/>
      <c r="AG142" s="134"/>
    </row>
    <row r="143" spans="1:33" s="22" customFormat="1" ht="15" customHeight="1">
      <c r="A143" s="245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46" t="s">
        <v>196</v>
      </c>
      <c r="AC143" s="146"/>
      <c r="AD143" s="274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294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292">
        <v>15</v>
      </c>
      <c r="W144" s="74">
        <v>16</v>
      </c>
      <c r="X144" s="74">
        <v>10</v>
      </c>
      <c r="Y144" s="34">
        <v>15</v>
      </c>
      <c r="Z144" s="146"/>
      <c r="AA144" s="109"/>
      <c r="AB144" s="221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45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46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294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292">
        <v>11</v>
      </c>
      <c r="W146" s="74">
        <v>14</v>
      </c>
      <c r="X146" s="74">
        <v>1</v>
      </c>
      <c r="Y146" s="34"/>
      <c r="Z146" s="109"/>
      <c r="AA146" s="146"/>
      <c r="AB146" s="221" t="s">
        <v>199</v>
      </c>
      <c r="AC146" s="109"/>
      <c r="AD146" s="291"/>
      <c r="AE146" s="134"/>
      <c r="AF146" s="134"/>
      <c r="AG146" s="134"/>
    </row>
    <row r="147" spans="1:33" s="22" customFormat="1" ht="15" customHeight="1">
      <c r="A147" s="245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46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294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292">
        <v>3</v>
      </c>
      <c r="W148" s="74">
        <v>13</v>
      </c>
      <c r="X148" s="74">
        <v>8</v>
      </c>
      <c r="Y148" s="34">
        <v>8</v>
      </c>
      <c r="Z148" s="109"/>
      <c r="AA148" s="109"/>
      <c r="AB148" s="221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45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46" t="s">
        <v>202</v>
      </c>
      <c r="AC149" s="146"/>
      <c r="AD149" s="274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294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292"/>
      <c r="W150" s="74"/>
      <c r="X150" s="74"/>
      <c r="Y150" s="34"/>
      <c r="Z150" s="146"/>
      <c r="AA150" s="109"/>
      <c r="AB150" s="221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293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237">
        <v>8</v>
      </c>
      <c r="W151" s="75"/>
      <c r="X151" s="75"/>
      <c r="Y151" s="33">
        <v>5</v>
      </c>
      <c r="Z151" s="146"/>
      <c r="AA151" s="146"/>
      <c r="AB151" s="218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47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46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45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46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294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292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294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292">
        <v>4</v>
      </c>
      <c r="W155" s="74"/>
      <c r="X155" s="74"/>
      <c r="Y155" s="34"/>
      <c r="AC155" s="146"/>
    </row>
    <row r="156" spans="1:33" s="22" customFormat="1" ht="15" customHeight="1">
      <c r="A156" s="299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45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294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292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293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237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47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45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47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296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45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294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292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45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294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292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426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293"/>
      <c r="I175" s="33"/>
      <c r="J175" s="33"/>
      <c r="K175" s="33"/>
      <c r="L175" s="33"/>
      <c r="M175" s="33"/>
      <c r="N175" s="37"/>
      <c r="O175" s="144"/>
      <c r="P175" s="300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220" t="s">
        <v>3</v>
      </c>
      <c r="AC175" s="146"/>
    </row>
    <row r="176" spans="1:33" s="22" customFormat="1" ht="15" customHeight="1">
      <c r="A176" s="247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305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44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303"/>
      <c r="I177" s="64"/>
      <c r="J177" s="64"/>
      <c r="K177" s="64"/>
      <c r="L177" s="64"/>
      <c r="M177" s="64"/>
      <c r="N177" s="63"/>
      <c r="O177" s="137"/>
      <c r="P177" s="302"/>
      <c r="Q177" s="63"/>
      <c r="R177" s="137"/>
      <c r="S177" s="175"/>
      <c r="T177" s="175"/>
      <c r="U177" s="175"/>
      <c r="V177" s="175"/>
      <c r="W177" s="175"/>
      <c r="X177" s="61"/>
      <c r="Y177" s="64"/>
      <c r="AA177" s="109"/>
      <c r="AB177" s="221" t="s">
        <v>206</v>
      </c>
      <c r="AC177" s="109"/>
    </row>
    <row r="178" spans="1:29" s="22" customFormat="1" ht="15" customHeight="1">
      <c r="A178" s="9" t="s">
        <v>31</v>
      </c>
      <c r="B178" s="384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293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300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218" t="s">
        <v>112</v>
      </c>
      <c r="AC178" s="146"/>
    </row>
    <row r="179" spans="1:29" s="22" customFormat="1" ht="15" customHeight="1">
      <c r="A179" s="247" t="s">
        <v>47</v>
      </c>
      <c r="B179" s="385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305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46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293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300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221" t="s">
        <v>208</v>
      </c>
      <c r="AC180" s="146"/>
    </row>
    <row r="181" spans="1:29" s="22" customFormat="1" ht="15" customHeight="1">
      <c r="A181" s="247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305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46" t="s">
        <v>209</v>
      </c>
      <c r="AC181" s="146"/>
    </row>
    <row r="182" spans="1:29" s="22" customFormat="1" ht="15" customHeight="1">
      <c r="A182" s="245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306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46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294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301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221" t="s">
        <v>211</v>
      </c>
      <c r="AC183" s="146"/>
    </row>
    <row r="184" spans="1:29" s="22" customFormat="1" ht="15" customHeight="1">
      <c r="A184" s="245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306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46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294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301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221" t="s">
        <v>213</v>
      </c>
      <c r="AC185" s="109"/>
    </row>
    <row r="186" spans="1:29" s="22" customFormat="1" ht="15" customHeight="1">
      <c r="A186" s="245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306"/>
      <c r="Q186" s="144">
        <v>7</v>
      </c>
      <c r="R186" s="144">
        <v>2</v>
      </c>
      <c r="S186" s="144">
        <v>2</v>
      </c>
      <c r="T186" s="166"/>
      <c r="U186" s="166"/>
      <c r="V186" s="307">
        <v>5</v>
      </c>
      <c r="W186" s="166">
        <v>3</v>
      </c>
      <c r="X186" s="166">
        <v>1</v>
      </c>
      <c r="Y186" s="143">
        <v>1</v>
      </c>
      <c r="Z186" s="146"/>
      <c r="AA186" s="27"/>
      <c r="AB186" s="246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294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301">
        <v>6</v>
      </c>
      <c r="Q187" s="36"/>
      <c r="R187" s="136"/>
      <c r="S187" s="136"/>
      <c r="T187" s="92">
        <v>4</v>
      </c>
      <c r="U187" s="92">
        <v>6</v>
      </c>
      <c r="V187" s="304"/>
      <c r="W187" s="92"/>
      <c r="X187" s="92"/>
      <c r="Y187" s="34"/>
      <c r="Z187" s="109"/>
      <c r="AA187"/>
      <c r="AB187" s="221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293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300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221" t="s">
        <v>216</v>
      </c>
      <c r="AC188" s="109"/>
    </row>
    <row r="189" spans="1:29" s="22" customFormat="1" ht="15" customHeight="1">
      <c r="A189" s="247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305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46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293"/>
      <c r="I190" s="33"/>
      <c r="J190" s="33"/>
      <c r="K190" s="33"/>
      <c r="L190" s="33"/>
      <c r="M190" s="33"/>
      <c r="N190" s="37"/>
      <c r="O190" s="135"/>
      <c r="P190" s="300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221" t="s">
        <v>218</v>
      </c>
      <c r="AC190" s="146"/>
    </row>
    <row r="191" spans="1:29" s="22" customFormat="1" ht="15" customHeight="1">
      <c r="A191" s="247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305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44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293"/>
      <c r="I192" s="33"/>
      <c r="J192" s="33"/>
      <c r="K192" s="33"/>
      <c r="L192" s="33"/>
      <c r="M192" s="33"/>
      <c r="N192" s="37"/>
      <c r="O192" s="135"/>
      <c r="P192" s="300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221" t="s">
        <v>219</v>
      </c>
    </row>
    <row r="193" spans="1:28" s="22" customFormat="1" ht="15" customHeight="1">
      <c r="A193" s="247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305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44" t="s">
        <v>428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293">
        <v>6</v>
      </c>
      <c r="I194" s="33"/>
      <c r="J194" s="33">
        <v>5</v>
      </c>
      <c r="K194" s="33"/>
      <c r="L194" s="33"/>
      <c r="M194" s="33"/>
      <c r="N194" s="37"/>
      <c r="O194" s="135"/>
      <c r="P194" s="300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47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305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293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300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47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305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293"/>
      <c r="I198" s="33"/>
      <c r="J198" s="33"/>
      <c r="K198" s="33"/>
      <c r="L198" s="33"/>
      <c r="M198" s="33"/>
      <c r="N198" s="37"/>
      <c r="O198" s="135"/>
      <c r="P198" s="300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47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305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294"/>
      <c r="I200" s="34"/>
      <c r="J200" s="34"/>
      <c r="K200" s="34"/>
      <c r="L200" s="34"/>
      <c r="M200" s="34"/>
      <c r="N200" s="36"/>
      <c r="O200" s="136"/>
      <c r="P200" s="301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299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305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303"/>
      <c r="I202" s="64"/>
      <c r="J202" s="64"/>
      <c r="K202" s="64"/>
      <c r="L202" s="64"/>
      <c r="M202" s="64"/>
      <c r="N202" s="63"/>
      <c r="O202" s="137"/>
      <c r="P202" s="302"/>
      <c r="Q202" s="63"/>
      <c r="R202" s="137"/>
      <c r="S202" s="137"/>
      <c r="T202" s="175"/>
      <c r="U202" s="175"/>
      <c r="V202" s="175"/>
      <c r="W202" s="175"/>
      <c r="X202" s="61"/>
      <c r="Y202" s="64"/>
      <c r="Z202"/>
      <c r="AA202" s="134"/>
      <c r="AB202" s="163"/>
    </row>
    <row r="203" spans="1:28" s="22" customFormat="1" ht="15" customHeight="1">
      <c r="A203" s="245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305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294"/>
      <c r="I204" s="34"/>
      <c r="J204" s="34"/>
      <c r="K204" s="34">
        <v>1</v>
      </c>
      <c r="L204" s="34"/>
      <c r="M204" s="34"/>
      <c r="N204" s="36"/>
      <c r="O204" s="36"/>
      <c r="P204" s="301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391" t="s">
        <v>429</v>
      </c>
      <c r="AA206" s="392"/>
      <c r="AB206" s="392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391" t="s">
        <v>430</v>
      </c>
      <c r="AA207" s="392"/>
      <c r="AB207" s="392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326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70" t="s">
        <v>4</v>
      </c>
      <c r="AC212" s="146"/>
    </row>
    <row r="213" spans="1:30" s="22" customFormat="1" ht="15" customHeight="1">
      <c r="A213" s="15" t="s">
        <v>36</v>
      </c>
      <c r="B213" s="147"/>
      <c r="C213" s="309"/>
      <c r="D213" s="309"/>
      <c r="E213" s="318"/>
      <c r="F213" s="313"/>
      <c r="G213" s="313"/>
      <c r="H213" s="294"/>
      <c r="I213" s="313"/>
      <c r="J213" s="313"/>
      <c r="K213" s="313">
        <v>1</v>
      </c>
      <c r="L213" s="313"/>
      <c r="M213" s="309"/>
      <c r="N213" s="318"/>
      <c r="O213" s="318"/>
      <c r="P213" s="318"/>
      <c r="Q213" s="318"/>
      <c r="R213" s="321"/>
      <c r="S213" s="321"/>
      <c r="T213" s="316"/>
      <c r="U213" s="88"/>
      <c r="V213" s="318"/>
      <c r="W213" s="316"/>
      <c r="X213" s="313"/>
      <c r="Y213" s="309"/>
      <c r="AA213" s="1"/>
      <c r="AB213" s="218" t="s">
        <v>114</v>
      </c>
      <c r="AC213" s="146"/>
    </row>
    <row r="214" spans="1:30" ht="15" customHeight="1">
      <c r="A214" s="20">
        <f>+A211+3</f>
        <v>45942</v>
      </c>
      <c r="B214" s="25"/>
      <c r="C214" s="324"/>
      <c r="D214" s="324"/>
      <c r="E214" s="323"/>
      <c r="F214" s="310"/>
      <c r="G214" s="310"/>
      <c r="H214" s="303"/>
      <c r="I214" s="310"/>
      <c r="J214" s="310"/>
      <c r="K214" s="310"/>
      <c r="L214" s="310"/>
      <c r="M214" s="310"/>
      <c r="N214" s="319"/>
      <c r="O214" s="319"/>
      <c r="P214" s="319"/>
      <c r="Q214" s="319"/>
      <c r="R214" s="322"/>
      <c r="S214" s="322"/>
      <c r="T214" s="322"/>
      <c r="U214" s="322"/>
      <c r="V214" s="319"/>
      <c r="W214" s="322"/>
      <c r="X214" s="314"/>
      <c r="Y214" s="310"/>
      <c r="AB214" s="221" t="s">
        <v>220</v>
      </c>
      <c r="AC214" s="109"/>
      <c r="AD214" s="22"/>
    </row>
    <row r="215" spans="1:30" s="22" customFormat="1" ht="15" customHeight="1">
      <c r="A215" s="9" t="s">
        <v>38</v>
      </c>
      <c r="B215" s="384" t="s">
        <v>65</v>
      </c>
      <c r="C215" s="308">
        <v>13</v>
      </c>
      <c r="D215" s="308"/>
      <c r="E215" s="317"/>
      <c r="F215" s="312">
        <v>12</v>
      </c>
      <c r="G215" s="312">
        <v>9</v>
      </c>
      <c r="H215" s="293">
        <v>11</v>
      </c>
      <c r="I215" s="312">
        <v>13</v>
      </c>
      <c r="J215" s="312">
        <v>15</v>
      </c>
      <c r="K215" s="312">
        <v>2</v>
      </c>
      <c r="L215" s="312">
        <v>14</v>
      </c>
      <c r="M215" s="308">
        <v>13</v>
      </c>
      <c r="N215" s="317">
        <v>6</v>
      </c>
      <c r="O215" s="317"/>
      <c r="P215" s="317">
        <v>15</v>
      </c>
      <c r="Q215" s="317">
        <v>15</v>
      </c>
      <c r="R215" s="320">
        <v>14</v>
      </c>
      <c r="S215" s="320">
        <v>13</v>
      </c>
      <c r="T215" s="315">
        <v>13</v>
      </c>
      <c r="U215" s="90">
        <v>14</v>
      </c>
      <c r="V215" s="317">
        <v>11</v>
      </c>
      <c r="W215" s="315">
        <v>11</v>
      </c>
      <c r="X215" s="315">
        <v>14</v>
      </c>
      <c r="Y215" s="308">
        <v>14</v>
      </c>
      <c r="AA215" s="1"/>
      <c r="AB215" s="218" t="s">
        <v>115</v>
      </c>
      <c r="AC215" s="146"/>
    </row>
    <row r="216" spans="1:30" s="22" customFormat="1" ht="15" customHeight="1">
      <c r="A216" s="247" t="s">
        <v>46</v>
      </c>
      <c r="B216" s="385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46" t="s">
        <v>221</v>
      </c>
      <c r="AC216" s="146"/>
    </row>
    <row r="217" spans="1:30" s="22" customFormat="1" ht="15" customHeight="1">
      <c r="A217" s="9" t="s">
        <v>44</v>
      </c>
      <c r="B217" s="141"/>
      <c r="C217" s="308">
        <v>12</v>
      </c>
      <c r="D217" s="308">
        <v>11</v>
      </c>
      <c r="E217" s="317"/>
      <c r="F217" s="312">
        <v>7</v>
      </c>
      <c r="G217" s="312">
        <v>11</v>
      </c>
      <c r="H217" s="293">
        <v>12</v>
      </c>
      <c r="I217" s="312">
        <v>5</v>
      </c>
      <c r="J217" s="312">
        <v>1</v>
      </c>
      <c r="K217" s="312">
        <v>15</v>
      </c>
      <c r="L217" s="312">
        <v>13</v>
      </c>
      <c r="M217" s="308">
        <v>12</v>
      </c>
      <c r="N217" s="317">
        <v>5</v>
      </c>
      <c r="O217" s="317">
        <v>13</v>
      </c>
      <c r="P217" s="317">
        <v>5</v>
      </c>
      <c r="Q217" s="317">
        <v>8</v>
      </c>
      <c r="R217" s="320">
        <v>12</v>
      </c>
      <c r="S217" s="320">
        <v>7</v>
      </c>
      <c r="T217" s="315">
        <v>9</v>
      </c>
      <c r="U217" s="90">
        <v>7</v>
      </c>
      <c r="V217" s="317">
        <v>13</v>
      </c>
      <c r="W217" s="315"/>
      <c r="X217" s="312">
        <v>7</v>
      </c>
      <c r="Y217" s="308">
        <v>11</v>
      </c>
      <c r="Z217" s="146"/>
      <c r="AB217" s="221" t="s">
        <v>222</v>
      </c>
      <c r="AC217" s="146"/>
    </row>
    <row r="218" spans="1:30" s="22" customFormat="1" ht="15" customHeight="1">
      <c r="A218" s="247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327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46" t="s">
        <v>223</v>
      </c>
      <c r="AC218" s="146"/>
    </row>
    <row r="219" spans="1:30" s="22" customFormat="1" ht="15" customHeight="1">
      <c r="A219" s="245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46" t="s">
        <v>224</v>
      </c>
      <c r="AC219" s="146"/>
    </row>
    <row r="220" spans="1:30" s="22" customFormat="1" ht="15" customHeight="1">
      <c r="A220" s="7" t="s">
        <v>48</v>
      </c>
      <c r="B220" s="31"/>
      <c r="C220" s="309"/>
      <c r="D220" s="309"/>
      <c r="E220" s="318"/>
      <c r="F220" s="313"/>
      <c r="G220" s="313"/>
      <c r="H220" s="294"/>
      <c r="I220" s="313"/>
      <c r="J220" s="313">
        <v>2</v>
      </c>
      <c r="K220" s="313">
        <v>11</v>
      </c>
      <c r="L220" s="313"/>
      <c r="M220" s="309"/>
      <c r="N220" s="318"/>
      <c r="O220" s="318"/>
      <c r="P220" s="318"/>
      <c r="Q220" s="318"/>
      <c r="R220" s="321"/>
      <c r="S220" s="321"/>
      <c r="T220" s="316"/>
      <c r="U220" s="92"/>
      <c r="V220" s="318"/>
      <c r="W220" s="316"/>
      <c r="X220" s="313">
        <v>2</v>
      </c>
      <c r="Y220" s="309"/>
      <c r="Z220" s="109"/>
      <c r="AB220" s="221" t="s">
        <v>225</v>
      </c>
      <c r="AC220" s="109"/>
    </row>
    <row r="221" spans="1:30" s="22" customFormat="1" ht="15" customHeight="1">
      <c r="A221" s="245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46" t="s">
        <v>226</v>
      </c>
      <c r="AC221" s="146"/>
    </row>
    <row r="222" spans="1:30" s="22" customFormat="1" ht="15" customHeight="1">
      <c r="A222" s="7" t="s">
        <v>49</v>
      </c>
      <c r="B222" s="147"/>
      <c r="C222" s="309">
        <v>9</v>
      </c>
      <c r="D222" s="309">
        <v>12</v>
      </c>
      <c r="E222" s="318">
        <v>5</v>
      </c>
      <c r="F222" s="313">
        <v>11</v>
      </c>
      <c r="G222" s="313">
        <v>12</v>
      </c>
      <c r="H222" s="294">
        <v>14</v>
      </c>
      <c r="I222" s="313">
        <v>12</v>
      </c>
      <c r="J222" s="313">
        <v>14</v>
      </c>
      <c r="K222" s="313">
        <v>9</v>
      </c>
      <c r="L222" s="313">
        <v>11</v>
      </c>
      <c r="M222" s="309">
        <v>11</v>
      </c>
      <c r="N222" s="318">
        <v>7</v>
      </c>
      <c r="O222" s="318">
        <v>12</v>
      </c>
      <c r="P222" s="318"/>
      <c r="Q222" s="318">
        <v>10</v>
      </c>
      <c r="R222" s="321">
        <v>11</v>
      </c>
      <c r="S222" s="321">
        <v>12</v>
      </c>
      <c r="T222" s="316">
        <v>8</v>
      </c>
      <c r="U222" s="88">
        <v>6</v>
      </c>
      <c r="V222" s="318">
        <v>10</v>
      </c>
      <c r="W222" s="316">
        <v>14</v>
      </c>
      <c r="X222" s="313">
        <v>11</v>
      </c>
      <c r="Y222" s="309">
        <v>12</v>
      </c>
      <c r="Z222" s="146"/>
      <c r="AA222" s="146"/>
      <c r="AB222" s="221" t="s">
        <v>227</v>
      </c>
      <c r="AC222" s="146"/>
    </row>
    <row r="223" spans="1:30" s="22" customFormat="1" ht="15" customHeight="1">
      <c r="A223" s="9" t="s">
        <v>40</v>
      </c>
      <c r="B223" s="30"/>
      <c r="C223" s="308"/>
      <c r="D223" s="308"/>
      <c r="E223" s="317">
        <v>12</v>
      </c>
      <c r="F223" s="312">
        <v>6</v>
      </c>
      <c r="G223" s="312"/>
      <c r="H223" s="293"/>
      <c r="I223" s="312"/>
      <c r="J223" s="312">
        <v>3</v>
      </c>
      <c r="K223" s="312"/>
      <c r="L223" s="312">
        <v>4</v>
      </c>
      <c r="M223" s="308"/>
      <c r="N223" s="317">
        <v>1</v>
      </c>
      <c r="O223" s="317"/>
      <c r="P223" s="317">
        <v>2</v>
      </c>
      <c r="Q223" s="317">
        <v>4</v>
      </c>
      <c r="R223" s="320"/>
      <c r="S223" s="320"/>
      <c r="T223" s="315"/>
      <c r="U223" s="90">
        <v>1</v>
      </c>
      <c r="V223" s="317">
        <v>2</v>
      </c>
      <c r="W223" s="315"/>
      <c r="X223" s="312"/>
      <c r="Y223" s="308"/>
      <c r="Z223" s="109"/>
      <c r="AA223" s="146"/>
      <c r="AB223" s="221" t="s">
        <v>228</v>
      </c>
      <c r="AC223" s="109"/>
    </row>
    <row r="224" spans="1:30" s="22" customFormat="1" ht="15" customHeight="1">
      <c r="A224" s="247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46" t="s">
        <v>229</v>
      </c>
      <c r="AC224" s="146"/>
    </row>
    <row r="225" spans="1:33" s="22" customFormat="1" ht="15" customHeight="1">
      <c r="A225" s="9" t="s">
        <v>29</v>
      </c>
      <c r="B225" s="141"/>
      <c r="C225" s="308">
        <v>14</v>
      </c>
      <c r="D225" s="308">
        <v>6</v>
      </c>
      <c r="E225" s="317">
        <v>9</v>
      </c>
      <c r="F225" s="312">
        <v>13</v>
      </c>
      <c r="G225" s="312">
        <v>13</v>
      </c>
      <c r="H225" s="293">
        <v>4</v>
      </c>
      <c r="I225" s="312">
        <v>8</v>
      </c>
      <c r="J225" s="312">
        <v>12</v>
      </c>
      <c r="K225" s="312">
        <v>8</v>
      </c>
      <c r="L225" s="312">
        <v>10</v>
      </c>
      <c r="M225" s="308">
        <v>8</v>
      </c>
      <c r="N225" s="317">
        <v>2</v>
      </c>
      <c r="O225" s="317"/>
      <c r="P225" s="317">
        <v>14</v>
      </c>
      <c r="Q225" s="317">
        <v>11</v>
      </c>
      <c r="R225" s="320">
        <v>2</v>
      </c>
      <c r="S225" s="320">
        <v>11</v>
      </c>
      <c r="T225" s="315">
        <v>5</v>
      </c>
      <c r="U225" s="90">
        <v>8</v>
      </c>
      <c r="V225" s="317">
        <v>3</v>
      </c>
      <c r="W225" s="315">
        <v>3</v>
      </c>
      <c r="X225" s="312">
        <v>3</v>
      </c>
      <c r="Y225" s="308">
        <v>5</v>
      </c>
      <c r="Z225" s="146"/>
      <c r="AA225" s="109"/>
      <c r="AB225" s="221" t="s">
        <v>230</v>
      </c>
      <c r="AC225" s="146"/>
    </row>
    <row r="226" spans="1:33" s="22" customFormat="1" ht="15" customHeight="1">
      <c r="A226" s="247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46" t="s">
        <v>231</v>
      </c>
      <c r="AC226" s="146"/>
    </row>
    <row r="227" spans="1:33" s="22" customFormat="1" ht="15" customHeight="1">
      <c r="A227" s="245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46" t="s">
        <v>232</v>
      </c>
      <c r="AC227" s="146"/>
    </row>
    <row r="228" spans="1:33" s="22" customFormat="1" ht="15" customHeight="1">
      <c r="A228" s="7" t="s">
        <v>56</v>
      </c>
      <c r="B228" s="147"/>
      <c r="C228" s="309">
        <v>4</v>
      </c>
      <c r="D228" s="309">
        <v>10</v>
      </c>
      <c r="E228" s="318">
        <v>8</v>
      </c>
      <c r="F228" s="313">
        <v>1</v>
      </c>
      <c r="G228" s="313">
        <v>14</v>
      </c>
      <c r="H228" s="294">
        <v>8</v>
      </c>
      <c r="I228" s="313">
        <v>11</v>
      </c>
      <c r="J228" s="313">
        <v>10</v>
      </c>
      <c r="K228" s="313">
        <v>14</v>
      </c>
      <c r="L228" s="313">
        <v>9</v>
      </c>
      <c r="M228" s="309">
        <v>7</v>
      </c>
      <c r="N228" s="318">
        <v>9</v>
      </c>
      <c r="O228" s="318">
        <v>11</v>
      </c>
      <c r="P228" s="318">
        <v>8</v>
      </c>
      <c r="Q228" s="318">
        <v>5</v>
      </c>
      <c r="R228" s="321">
        <v>10</v>
      </c>
      <c r="S228" s="321">
        <v>6</v>
      </c>
      <c r="T228" s="316">
        <v>10</v>
      </c>
      <c r="U228" s="92">
        <v>9</v>
      </c>
      <c r="V228" s="318">
        <v>5</v>
      </c>
      <c r="W228" s="316">
        <v>13</v>
      </c>
      <c r="X228" s="313">
        <v>12</v>
      </c>
      <c r="Y228" s="309">
        <v>10</v>
      </c>
      <c r="Z228" s="146"/>
      <c r="AA228" s="109"/>
      <c r="AB228" s="218" t="s">
        <v>116</v>
      </c>
      <c r="AC228" s="146"/>
    </row>
    <row r="229" spans="1:33" s="22" customFormat="1" ht="15" customHeight="1">
      <c r="A229" s="245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46" t="s">
        <v>233</v>
      </c>
      <c r="AC229" s="146"/>
    </row>
    <row r="230" spans="1:33" s="22" customFormat="1" ht="15" customHeight="1">
      <c r="A230" s="7" t="s">
        <v>41</v>
      </c>
      <c r="B230" s="147"/>
      <c r="C230" s="309">
        <v>2</v>
      </c>
      <c r="D230" s="309">
        <v>5</v>
      </c>
      <c r="E230" s="318">
        <v>14</v>
      </c>
      <c r="F230" s="313">
        <v>10</v>
      </c>
      <c r="G230" s="313"/>
      <c r="H230" s="294">
        <v>10</v>
      </c>
      <c r="I230" s="313">
        <v>2</v>
      </c>
      <c r="J230" s="313">
        <v>4</v>
      </c>
      <c r="K230" s="313">
        <v>7</v>
      </c>
      <c r="L230" s="313">
        <v>2</v>
      </c>
      <c r="M230" s="309">
        <v>1</v>
      </c>
      <c r="N230" s="318">
        <v>8</v>
      </c>
      <c r="O230" s="318">
        <v>4</v>
      </c>
      <c r="P230" s="318"/>
      <c r="Q230" s="318"/>
      <c r="R230" s="321"/>
      <c r="S230" s="321">
        <v>2</v>
      </c>
      <c r="T230" s="316">
        <v>3</v>
      </c>
      <c r="U230" s="92">
        <v>2</v>
      </c>
      <c r="V230" s="318">
        <v>6</v>
      </c>
      <c r="W230" s="316">
        <v>1</v>
      </c>
      <c r="X230" s="313"/>
      <c r="Y230" s="309">
        <v>6</v>
      </c>
      <c r="AA230" s="109"/>
      <c r="AB230" s="221" t="s">
        <v>234</v>
      </c>
      <c r="AC230" s="146"/>
    </row>
    <row r="231" spans="1:33" s="22" customFormat="1" ht="15" customHeight="1">
      <c r="A231" s="245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44" t="s">
        <v>431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309">
        <v>6</v>
      </c>
      <c r="D232" s="309">
        <v>4</v>
      </c>
      <c r="E232" s="318">
        <v>6</v>
      </c>
      <c r="F232" s="313">
        <v>2</v>
      </c>
      <c r="G232" s="313"/>
      <c r="H232" s="294">
        <v>9</v>
      </c>
      <c r="I232" s="313">
        <v>9</v>
      </c>
      <c r="J232" s="313"/>
      <c r="K232" s="313">
        <v>12</v>
      </c>
      <c r="L232" s="313">
        <v>3</v>
      </c>
      <c r="M232" s="309">
        <v>2</v>
      </c>
      <c r="N232" s="318">
        <v>13</v>
      </c>
      <c r="O232" s="318">
        <v>10</v>
      </c>
      <c r="P232" s="318">
        <v>12</v>
      </c>
      <c r="Q232" s="318"/>
      <c r="R232" s="321"/>
      <c r="S232" s="321">
        <v>5</v>
      </c>
      <c r="T232" s="316">
        <v>6</v>
      </c>
      <c r="U232" s="92">
        <v>5</v>
      </c>
      <c r="V232" s="318"/>
      <c r="W232" s="316">
        <v>9</v>
      </c>
      <c r="X232" s="313">
        <v>1</v>
      </c>
      <c r="Y232" s="309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45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413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309">
        <v>15</v>
      </c>
      <c r="D234" s="309">
        <v>13</v>
      </c>
      <c r="E234" s="318">
        <v>15</v>
      </c>
      <c r="F234" s="313">
        <v>15</v>
      </c>
      <c r="G234" s="313">
        <v>2</v>
      </c>
      <c r="H234" s="294">
        <v>15</v>
      </c>
      <c r="I234" s="313">
        <v>14</v>
      </c>
      <c r="J234" s="313">
        <v>11</v>
      </c>
      <c r="K234" s="313">
        <v>13</v>
      </c>
      <c r="L234" s="313">
        <v>8</v>
      </c>
      <c r="M234" s="309">
        <v>6</v>
      </c>
      <c r="N234" s="318">
        <v>15</v>
      </c>
      <c r="O234" s="318">
        <v>15</v>
      </c>
      <c r="P234" s="318">
        <v>13</v>
      </c>
      <c r="Q234" s="318">
        <v>13</v>
      </c>
      <c r="R234" s="321"/>
      <c r="S234" s="321">
        <v>15</v>
      </c>
      <c r="T234" s="316">
        <v>12</v>
      </c>
      <c r="U234" s="88">
        <v>13</v>
      </c>
      <c r="V234" s="318">
        <v>15</v>
      </c>
      <c r="W234" s="316">
        <v>15</v>
      </c>
      <c r="X234" s="313">
        <v>15</v>
      </c>
      <c r="Y234" s="309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309">
        <v>7</v>
      </c>
      <c r="D235" s="309"/>
      <c r="E235" s="318">
        <v>7</v>
      </c>
      <c r="F235" s="313">
        <v>3</v>
      </c>
      <c r="G235" s="313">
        <v>4</v>
      </c>
      <c r="H235" s="294"/>
      <c r="I235" s="313">
        <v>6</v>
      </c>
      <c r="J235" s="313"/>
      <c r="K235" s="313">
        <v>6</v>
      </c>
      <c r="L235" s="313">
        <v>7</v>
      </c>
      <c r="M235" s="309">
        <v>5</v>
      </c>
      <c r="N235" s="318">
        <v>4</v>
      </c>
      <c r="O235" s="318"/>
      <c r="P235" s="318">
        <v>11</v>
      </c>
      <c r="Q235" s="318">
        <v>12</v>
      </c>
      <c r="R235" s="321">
        <v>9</v>
      </c>
      <c r="S235" s="321">
        <v>4</v>
      </c>
      <c r="T235" s="316">
        <v>1</v>
      </c>
      <c r="U235" s="92">
        <v>4</v>
      </c>
      <c r="V235" s="318">
        <v>9</v>
      </c>
      <c r="W235" s="316">
        <v>2</v>
      </c>
      <c r="X235" s="313">
        <v>4</v>
      </c>
      <c r="Y235" s="309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299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413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45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309"/>
      <c r="D238" s="309">
        <v>2</v>
      </c>
      <c r="E238" s="318">
        <v>3</v>
      </c>
      <c r="F238" s="313"/>
      <c r="G238" s="313"/>
      <c r="H238" s="294">
        <v>1</v>
      </c>
      <c r="I238" s="313">
        <v>1</v>
      </c>
      <c r="J238" s="313"/>
      <c r="K238" s="313"/>
      <c r="L238" s="313"/>
      <c r="M238" s="309"/>
      <c r="N238" s="318"/>
      <c r="O238" s="318"/>
      <c r="P238" s="318"/>
      <c r="Q238" s="318">
        <v>1</v>
      </c>
      <c r="R238" s="321"/>
      <c r="S238" s="321"/>
      <c r="T238" s="316"/>
      <c r="U238" s="88">
        <v>3</v>
      </c>
      <c r="V238" s="318"/>
      <c r="W238" s="316"/>
      <c r="X238" s="313">
        <v>9</v>
      </c>
      <c r="Y238" s="309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325"/>
      <c r="D239" s="325"/>
      <c r="E239" s="319"/>
      <c r="F239" s="311"/>
      <c r="G239" s="311"/>
      <c r="H239" s="295"/>
      <c r="I239" s="311"/>
      <c r="J239" s="311"/>
      <c r="K239" s="311"/>
      <c r="L239" s="311"/>
      <c r="M239" s="311"/>
      <c r="N239" s="319"/>
      <c r="O239" s="319"/>
      <c r="P239" s="319"/>
      <c r="Q239" s="319"/>
      <c r="R239" s="322"/>
      <c r="S239" s="322"/>
      <c r="T239" s="322"/>
      <c r="U239" s="322"/>
      <c r="V239" s="319"/>
      <c r="W239" s="322"/>
      <c r="X239" s="314"/>
      <c r="Y239" s="311"/>
      <c r="AA239" s="134"/>
      <c r="AB239"/>
      <c r="AC239" s="134"/>
      <c r="AD239" s="134"/>
      <c r="AE239" s="134"/>
    </row>
    <row r="240" spans="1:33" s="22" customFormat="1" ht="15" customHeight="1">
      <c r="A240" s="245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309"/>
      <c r="D241" s="309"/>
      <c r="E241" s="318">
        <v>4</v>
      </c>
      <c r="F241" s="313"/>
      <c r="G241" s="313"/>
      <c r="H241" s="294"/>
      <c r="I241" s="313"/>
      <c r="J241" s="313"/>
      <c r="K241" s="313"/>
      <c r="L241" s="313"/>
      <c r="M241" s="309"/>
      <c r="N241" s="318"/>
      <c r="O241" s="318">
        <v>6</v>
      </c>
      <c r="P241" s="318"/>
      <c r="Q241" s="318"/>
      <c r="R241" s="321"/>
      <c r="S241" s="321"/>
      <c r="T241" s="316"/>
      <c r="U241" s="92"/>
      <c r="V241" s="318"/>
      <c r="W241" s="316"/>
      <c r="X241" s="313"/>
      <c r="Y241" s="309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308"/>
      <c r="D242" s="308"/>
      <c r="E242" s="317"/>
      <c r="F242" s="312"/>
      <c r="G242" s="312"/>
      <c r="H242" s="293">
        <v>2</v>
      </c>
      <c r="I242" s="312"/>
      <c r="J242" s="312"/>
      <c r="K242" s="312"/>
      <c r="L242" s="312"/>
      <c r="M242" s="308"/>
      <c r="N242" s="317"/>
      <c r="O242" s="317"/>
      <c r="P242" s="317"/>
      <c r="Q242" s="317"/>
      <c r="R242" s="320"/>
      <c r="S242" s="320"/>
      <c r="T242" s="315"/>
      <c r="U242" s="90"/>
      <c r="V242" s="317"/>
      <c r="W242" s="315"/>
      <c r="X242" s="312"/>
      <c r="Y242" s="308"/>
      <c r="AA242" s="132"/>
      <c r="AB242" s="27"/>
      <c r="AC242" s="132"/>
      <c r="AD242" s="132"/>
      <c r="AE242" s="132"/>
    </row>
    <row r="243" spans="1:31" s="22" customFormat="1" ht="15" customHeight="1">
      <c r="A243" s="266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432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42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40">
        <v>11</v>
      </c>
      <c r="R251" s="341">
        <v>10</v>
      </c>
      <c r="S251" s="144">
        <v>11</v>
      </c>
      <c r="T251" s="145">
        <v>4</v>
      </c>
      <c r="U251" s="154">
        <v>11</v>
      </c>
      <c r="V251" s="342">
        <v>9</v>
      </c>
      <c r="W251" s="145">
        <v>9</v>
      </c>
      <c r="X251" s="145">
        <v>10</v>
      </c>
      <c r="Y251" s="142">
        <v>11</v>
      </c>
      <c r="AA251" s="146"/>
      <c r="AB251" s="270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313"/>
      <c r="I252" s="313"/>
      <c r="J252" s="313"/>
      <c r="K252" s="34"/>
      <c r="L252" s="313"/>
      <c r="M252" s="29"/>
      <c r="N252" s="313"/>
      <c r="O252" s="313"/>
      <c r="P252" s="318"/>
      <c r="Q252" s="336"/>
      <c r="R252" s="332"/>
      <c r="S252" s="136"/>
      <c r="T252" s="74"/>
      <c r="U252" s="77"/>
      <c r="V252" s="329"/>
      <c r="W252" s="74"/>
      <c r="X252" s="74"/>
      <c r="Y252" s="29"/>
      <c r="AA252" s="146"/>
      <c r="AB252" s="218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311"/>
      <c r="I253" s="311"/>
      <c r="J253" s="311"/>
      <c r="K253" s="57"/>
      <c r="L253" s="311"/>
      <c r="M253" s="35"/>
      <c r="N253" s="311"/>
      <c r="O253" s="311"/>
      <c r="P253" s="319"/>
      <c r="Q253" s="337"/>
      <c r="R253" s="333"/>
      <c r="S253" s="137"/>
      <c r="T253" s="138"/>
      <c r="U253" s="138"/>
      <c r="V253" s="138"/>
      <c r="W253" s="138"/>
      <c r="X253" s="57"/>
      <c r="Y253" s="35"/>
      <c r="AA253" s="109"/>
      <c r="AB253" s="221" t="s">
        <v>235</v>
      </c>
      <c r="AC253" s="109"/>
      <c r="AD253" s="22"/>
    </row>
    <row r="254" spans="1:31" s="22" customFormat="1" ht="15" customHeight="1">
      <c r="A254" s="9" t="s">
        <v>44</v>
      </c>
      <c r="B254" s="384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312"/>
      <c r="I254" s="312">
        <v>1</v>
      </c>
      <c r="J254" s="312">
        <v>2</v>
      </c>
      <c r="K254" s="33"/>
      <c r="L254" s="312">
        <v>7</v>
      </c>
      <c r="M254" s="28"/>
      <c r="N254" s="312">
        <v>5</v>
      </c>
      <c r="O254" s="312">
        <v>6</v>
      </c>
      <c r="P254" s="317">
        <v>10</v>
      </c>
      <c r="Q254" s="335"/>
      <c r="R254" s="331">
        <v>11</v>
      </c>
      <c r="S254" s="135"/>
      <c r="T254" s="75">
        <v>1</v>
      </c>
      <c r="U254" s="75">
        <v>12</v>
      </c>
      <c r="V254" s="328"/>
      <c r="W254" s="75">
        <v>5</v>
      </c>
      <c r="X254" s="75"/>
      <c r="Y254" s="28">
        <v>1</v>
      </c>
      <c r="AA254" s="109"/>
      <c r="AB254" s="218" t="s">
        <v>118</v>
      </c>
      <c r="AC254" s="146"/>
    </row>
    <row r="255" spans="1:31" s="22" customFormat="1" ht="15" customHeight="1">
      <c r="A255" s="247" t="s">
        <v>39</v>
      </c>
      <c r="B255" s="387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43">
        <v>8</v>
      </c>
      <c r="R255" s="344"/>
      <c r="S255" s="150">
        <v>2</v>
      </c>
      <c r="T255" s="151"/>
      <c r="U255" s="151"/>
      <c r="V255" s="345">
        <v>3</v>
      </c>
      <c r="W255" s="151"/>
      <c r="X255" s="151">
        <v>5</v>
      </c>
      <c r="Y255" s="148"/>
      <c r="Z255" s="146"/>
      <c r="AA255" s="146"/>
      <c r="AB255" s="246" t="s">
        <v>236</v>
      </c>
      <c r="AC255" s="146"/>
    </row>
    <row r="256" spans="1:31" s="22" customFormat="1" ht="15" customHeight="1">
      <c r="A256" s="245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40">
        <v>1</v>
      </c>
      <c r="R256" s="341">
        <v>1</v>
      </c>
      <c r="S256" s="144"/>
      <c r="T256" s="145"/>
      <c r="U256" s="154"/>
      <c r="V256" s="342"/>
      <c r="W256" s="145"/>
      <c r="X256" s="145"/>
      <c r="Y256" s="142"/>
      <c r="Z256" s="146"/>
      <c r="AB256" s="246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313"/>
      <c r="I257" s="313">
        <v>6</v>
      </c>
      <c r="J257" s="313">
        <v>3</v>
      </c>
      <c r="K257" s="34">
        <v>14</v>
      </c>
      <c r="L257" s="313">
        <v>14</v>
      </c>
      <c r="M257" s="29">
        <v>3</v>
      </c>
      <c r="N257" s="313">
        <v>10</v>
      </c>
      <c r="O257" s="313">
        <v>12</v>
      </c>
      <c r="P257" s="318">
        <v>12</v>
      </c>
      <c r="Q257" s="336"/>
      <c r="R257" s="332"/>
      <c r="S257" s="136">
        <v>10</v>
      </c>
      <c r="T257" s="74">
        <v>10</v>
      </c>
      <c r="U257" s="77">
        <v>6</v>
      </c>
      <c r="V257" s="329">
        <v>12</v>
      </c>
      <c r="W257" s="74">
        <v>12</v>
      </c>
      <c r="X257" s="74">
        <v>13</v>
      </c>
      <c r="Y257" s="29">
        <v>13</v>
      </c>
      <c r="Z257" s="146"/>
      <c r="AB257" s="221" t="s">
        <v>238</v>
      </c>
      <c r="AC257" s="146"/>
    </row>
    <row r="258" spans="1:32" s="22" customFormat="1" ht="15" customHeight="1">
      <c r="A258" s="245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40">
        <v>2</v>
      </c>
      <c r="R258" s="341">
        <v>2</v>
      </c>
      <c r="S258" s="144"/>
      <c r="T258" s="145"/>
      <c r="U258" s="145"/>
      <c r="V258" s="342"/>
      <c r="W258" s="145"/>
      <c r="X258" s="145">
        <v>4</v>
      </c>
      <c r="Y258" s="142"/>
      <c r="Z258" s="146"/>
      <c r="AA258" s="27"/>
      <c r="AB258" s="246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313">
        <v>10</v>
      </c>
      <c r="I259" s="313">
        <v>3</v>
      </c>
      <c r="J259" s="313">
        <v>4</v>
      </c>
      <c r="K259" s="34">
        <v>9</v>
      </c>
      <c r="L259" s="313">
        <v>4</v>
      </c>
      <c r="M259" s="29">
        <v>4</v>
      </c>
      <c r="N259" s="313">
        <v>3</v>
      </c>
      <c r="O259" s="313">
        <v>5</v>
      </c>
      <c r="P259" s="318"/>
      <c r="Q259" s="336"/>
      <c r="R259" s="332"/>
      <c r="S259" s="136">
        <v>9</v>
      </c>
      <c r="T259" s="74">
        <v>2</v>
      </c>
      <c r="U259" s="74">
        <v>3</v>
      </c>
      <c r="V259" s="329">
        <v>1</v>
      </c>
      <c r="W259" s="74">
        <v>4</v>
      </c>
      <c r="X259" s="74"/>
      <c r="Y259" s="29">
        <v>7</v>
      </c>
      <c r="Z259" s="109"/>
      <c r="AA259" s="132"/>
      <c r="AB259" s="221" t="s">
        <v>240</v>
      </c>
      <c r="AC259" s="109"/>
    </row>
    <row r="260" spans="1:32" s="22" customFormat="1" ht="15" customHeight="1">
      <c r="A260" s="245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40"/>
      <c r="R260" s="341"/>
      <c r="S260" s="144"/>
      <c r="T260" s="145"/>
      <c r="U260" s="154"/>
      <c r="V260" s="342"/>
      <c r="W260" s="145"/>
      <c r="X260" s="145"/>
      <c r="Y260" s="142"/>
      <c r="Z260" s="146"/>
      <c r="AA260" s="27"/>
      <c r="AB260" s="246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313">
        <v>15</v>
      </c>
      <c r="I261" s="313">
        <v>15</v>
      </c>
      <c r="J261" s="313">
        <v>15</v>
      </c>
      <c r="K261" s="34">
        <v>13</v>
      </c>
      <c r="L261" s="313">
        <v>15</v>
      </c>
      <c r="M261" s="29">
        <v>10</v>
      </c>
      <c r="N261" s="313">
        <v>15</v>
      </c>
      <c r="O261" s="313">
        <v>15</v>
      </c>
      <c r="P261" s="318">
        <v>13</v>
      </c>
      <c r="Q261" s="336">
        <v>13</v>
      </c>
      <c r="R261" s="332">
        <v>15</v>
      </c>
      <c r="S261" s="136">
        <v>15</v>
      </c>
      <c r="T261" s="74">
        <v>13</v>
      </c>
      <c r="U261" s="77">
        <v>14</v>
      </c>
      <c r="V261" s="329">
        <v>15</v>
      </c>
      <c r="W261" s="74">
        <v>15</v>
      </c>
      <c r="X261" s="74">
        <v>15</v>
      </c>
      <c r="Y261" s="29">
        <v>15</v>
      </c>
      <c r="Z261" s="146"/>
      <c r="AA261" s="134"/>
      <c r="AB261" s="221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312"/>
      <c r="I262" s="312">
        <v>9</v>
      </c>
      <c r="J262" s="312">
        <v>10</v>
      </c>
      <c r="K262" s="33"/>
      <c r="L262" s="312">
        <v>6</v>
      </c>
      <c r="M262" s="28"/>
      <c r="N262" s="312">
        <v>4</v>
      </c>
      <c r="O262" s="312">
        <v>7</v>
      </c>
      <c r="P262" s="317">
        <v>8</v>
      </c>
      <c r="Q262" s="335">
        <v>12</v>
      </c>
      <c r="R262" s="331">
        <v>14</v>
      </c>
      <c r="S262" s="135">
        <v>13</v>
      </c>
      <c r="T262" s="75">
        <v>9</v>
      </c>
      <c r="U262" s="75">
        <v>7</v>
      </c>
      <c r="V262" s="328">
        <v>5</v>
      </c>
      <c r="W262" s="75"/>
      <c r="X262" s="75"/>
      <c r="Y262" s="28">
        <v>6</v>
      </c>
      <c r="Z262" s="146"/>
      <c r="AA262" s="132"/>
      <c r="AB262" s="221" t="s">
        <v>243</v>
      </c>
      <c r="AC262" s="146"/>
    </row>
    <row r="263" spans="1:32" s="22" customFormat="1" ht="15" customHeight="1">
      <c r="A263" s="247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43"/>
      <c r="R263" s="344"/>
      <c r="S263" s="150"/>
      <c r="T263" s="151"/>
      <c r="U263" s="151"/>
      <c r="V263" s="345"/>
      <c r="W263" s="151">
        <v>3</v>
      </c>
      <c r="X263" s="151">
        <v>11</v>
      </c>
      <c r="Y263" s="148"/>
      <c r="Z263" s="146"/>
      <c r="AA263" s="132"/>
      <c r="AB263" s="246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312">
        <v>9</v>
      </c>
      <c r="I264" s="312">
        <v>4</v>
      </c>
      <c r="J264" s="312">
        <v>14</v>
      </c>
      <c r="K264" s="33"/>
      <c r="L264" s="312"/>
      <c r="M264" s="28">
        <v>9</v>
      </c>
      <c r="N264" s="312">
        <v>2</v>
      </c>
      <c r="O264" s="312"/>
      <c r="P264" s="317"/>
      <c r="Q264" s="335">
        <v>9</v>
      </c>
      <c r="R264" s="331">
        <v>3</v>
      </c>
      <c r="S264" s="135">
        <v>8</v>
      </c>
      <c r="T264" s="75">
        <v>8</v>
      </c>
      <c r="U264" s="76">
        <v>9</v>
      </c>
      <c r="V264" s="328">
        <v>8</v>
      </c>
      <c r="W264" s="75"/>
      <c r="X264" s="75"/>
      <c r="Y264" s="28">
        <v>3</v>
      </c>
      <c r="Z264" s="146"/>
      <c r="AA264" s="134"/>
      <c r="AB264" s="221" t="s">
        <v>245</v>
      </c>
      <c r="AC264" s="146"/>
    </row>
    <row r="265" spans="1:32" s="22" customFormat="1" ht="15" customHeight="1">
      <c r="A265" s="247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43"/>
      <c r="R265" s="344"/>
      <c r="S265" s="150"/>
      <c r="T265" s="151"/>
      <c r="U265" s="153"/>
      <c r="V265" s="345"/>
      <c r="W265" s="151">
        <v>2</v>
      </c>
      <c r="X265" s="151">
        <v>3</v>
      </c>
      <c r="Y265" s="148"/>
      <c r="Z265" s="146"/>
      <c r="AA265" s="27"/>
      <c r="AB265" s="246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312">
        <v>14</v>
      </c>
      <c r="I266" s="312">
        <v>12</v>
      </c>
      <c r="J266" s="312">
        <v>13</v>
      </c>
      <c r="K266" s="33">
        <v>10</v>
      </c>
      <c r="L266" s="312">
        <v>10</v>
      </c>
      <c r="M266" s="28">
        <v>15</v>
      </c>
      <c r="N266" s="312">
        <v>14</v>
      </c>
      <c r="O266" s="312">
        <v>10</v>
      </c>
      <c r="P266" s="317">
        <v>15</v>
      </c>
      <c r="Q266" s="335">
        <v>15</v>
      </c>
      <c r="R266" s="331">
        <v>13</v>
      </c>
      <c r="S266" s="135">
        <v>14</v>
      </c>
      <c r="T266" s="75">
        <v>12</v>
      </c>
      <c r="U266" s="75">
        <v>15</v>
      </c>
      <c r="V266" s="328">
        <v>14</v>
      </c>
      <c r="W266" s="75">
        <v>10</v>
      </c>
      <c r="X266" s="75">
        <v>7</v>
      </c>
      <c r="Y266" s="28">
        <v>12</v>
      </c>
      <c r="Z266" s="109"/>
      <c r="AA266" s="132"/>
      <c r="AB266" s="221" t="s">
        <v>247</v>
      </c>
      <c r="AC266" s="109"/>
      <c r="AD266" s="1"/>
    </row>
    <row r="267" spans="1:32" s="22" customFormat="1" ht="15" customHeight="1">
      <c r="A267" s="247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43"/>
      <c r="R267" s="344"/>
      <c r="S267" s="150"/>
      <c r="T267" s="151"/>
      <c r="U267" s="151"/>
      <c r="V267" s="345"/>
      <c r="W267" s="151"/>
      <c r="X267" s="151"/>
      <c r="Y267" s="148"/>
      <c r="Z267" s="146"/>
      <c r="AA267" s="27"/>
      <c r="AB267" s="244" t="s">
        <v>119</v>
      </c>
      <c r="AC267" s="146"/>
    </row>
    <row r="268" spans="1:32" s="22" customFormat="1" ht="15" customHeight="1">
      <c r="A268" s="245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40"/>
      <c r="R268" s="341"/>
      <c r="S268" s="144"/>
      <c r="T268" s="145"/>
      <c r="U268" s="154"/>
      <c r="V268" s="342"/>
      <c r="W268" s="145"/>
      <c r="X268" s="145"/>
      <c r="Y268" s="142"/>
      <c r="Z268" s="146"/>
      <c r="AA268" s="132"/>
      <c r="AB268" s="246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313">
        <v>8</v>
      </c>
      <c r="I269" s="313">
        <v>11</v>
      </c>
      <c r="J269" s="313">
        <v>12</v>
      </c>
      <c r="K269" s="34">
        <v>7</v>
      </c>
      <c r="L269" s="313">
        <v>13</v>
      </c>
      <c r="M269" s="29"/>
      <c r="N269" s="313">
        <v>12</v>
      </c>
      <c r="O269" s="313">
        <v>14</v>
      </c>
      <c r="P269" s="318">
        <v>14</v>
      </c>
      <c r="Q269" s="336">
        <v>10</v>
      </c>
      <c r="R269" s="332">
        <v>9</v>
      </c>
      <c r="S269" s="136">
        <v>6</v>
      </c>
      <c r="T269" s="74">
        <v>5</v>
      </c>
      <c r="U269" s="77">
        <v>8</v>
      </c>
      <c r="V269" s="329">
        <v>7</v>
      </c>
      <c r="W269" s="74">
        <v>14</v>
      </c>
      <c r="X269" s="74">
        <v>9</v>
      </c>
      <c r="Y269" s="29">
        <v>9</v>
      </c>
      <c r="Z269" s="146"/>
      <c r="AA269"/>
      <c r="AB269" s="221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312">
        <v>7</v>
      </c>
      <c r="I270" s="312">
        <v>2</v>
      </c>
      <c r="J270" s="312"/>
      <c r="K270" s="33"/>
      <c r="L270" s="312">
        <v>2</v>
      </c>
      <c r="M270" s="28">
        <v>8</v>
      </c>
      <c r="N270" s="312"/>
      <c r="O270" s="312">
        <v>2</v>
      </c>
      <c r="P270" s="317"/>
      <c r="Q270" s="335">
        <v>7</v>
      </c>
      <c r="R270" s="331"/>
      <c r="S270" s="135"/>
      <c r="T270" s="75">
        <v>6</v>
      </c>
      <c r="U270" s="75"/>
      <c r="V270" s="328">
        <v>11</v>
      </c>
      <c r="W270" s="75"/>
      <c r="X270" s="75">
        <v>1</v>
      </c>
      <c r="Y270" s="28"/>
      <c r="AA270" s="134"/>
      <c r="AB270" s="218" t="s">
        <v>250</v>
      </c>
      <c r="AC270" s="146"/>
    </row>
    <row r="271" spans="1:32" s="22" customFormat="1" ht="15" customHeight="1">
      <c r="A271" s="247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43"/>
      <c r="R271" s="344">
        <v>8</v>
      </c>
      <c r="S271" s="150">
        <v>3</v>
      </c>
      <c r="T271" s="151"/>
      <c r="U271" s="151">
        <v>1</v>
      </c>
      <c r="V271" s="345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312">
        <v>12</v>
      </c>
      <c r="I272" s="312">
        <v>10</v>
      </c>
      <c r="J272" s="312">
        <v>11</v>
      </c>
      <c r="K272" s="33">
        <v>12</v>
      </c>
      <c r="L272" s="312">
        <v>9</v>
      </c>
      <c r="M272" s="28">
        <v>12</v>
      </c>
      <c r="N272" s="312">
        <v>11</v>
      </c>
      <c r="O272" s="312">
        <v>13</v>
      </c>
      <c r="P272" s="317">
        <v>5</v>
      </c>
      <c r="Q272" s="335">
        <v>14</v>
      </c>
      <c r="R272" s="331">
        <v>4</v>
      </c>
      <c r="S272" s="135"/>
      <c r="T272" s="75">
        <v>7</v>
      </c>
      <c r="U272" s="76">
        <v>13</v>
      </c>
      <c r="V272" s="328">
        <v>13</v>
      </c>
      <c r="W272" s="75">
        <v>11</v>
      </c>
      <c r="X272" s="75">
        <v>14</v>
      </c>
      <c r="Y272" s="28">
        <v>14</v>
      </c>
      <c r="Z272" s="265"/>
      <c r="AA272" s="134"/>
      <c r="AE272" s="132"/>
      <c r="AF272" s="132"/>
    </row>
    <row r="273" spans="1:32" s="22" customFormat="1" ht="15" customHeight="1">
      <c r="A273" s="247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43"/>
      <c r="R273" s="344"/>
      <c r="S273" s="150">
        <v>7</v>
      </c>
      <c r="T273" s="151"/>
      <c r="U273" s="153"/>
      <c r="V273" s="345"/>
      <c r="W273" s="151"/>
      <c r="X273" s="151"/>
      <c r="Y273" s="148"/>
      <c r="Z273" s="284"/>
      <c r="AA273" s="132"/>
      <c r="AE273" s="132"/>
      <c r="AF273" s="132"/>
    </row>
    <row r="274" spans="1:32" s="22" customFormat="1" ht="15" customHeight="1">
      <c r="A274" s="245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40"/>
      <c r="R274" s="341">
        <v>12</v>
      </c>
      <c r="S274" s="144"/>
      <c r="T274" s="145">
        <v>11</v>
      </c>
      <c r="U274" s="145"/>
      <c r="V274" s="342">
        <v>6</v>
      </c>
      <c r="W274" s="145">
        <v>7</v>
      </c>
      <c r="X274" s="145"/>
      <c r="Y274" s="142"/>
      <c r="Z274" s="274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313">
        <v>1</v>
      </c>
      <c r="I275" s="313">
        <v>7</v>
      </c>
      <c r="J275" s="313"/>
      <c r="K275" s="34">
        <v>3</v>
      </c>
      <c r="L275" s="313"/>
      <c r="M275" s="29"/>
      <c r="N275" s="313"/>
      <c r="O275" s="313"/>
      <c r="P275" s="318">
        <v>4</v>
      </c>
      <c r="Q275" s="336">
        <v>6</v>
      </c>
      <c r="R275" s="332"/>
      <c r="S275" s="136">
        <v>5</v>
      </c>
      <c r="T275" s="74"/>
      <c r="U275" s="74">
        <v>2</v>
      </c>
      <c r="V275" s="329"/>
      <c r="W275" s="74"/>
      <c r="X275" s="74">
        <v>2</v>
      </c>
      <c r="Y275" s="29">
        <v>5</v>
      </c>
      <c r="Z275" s="265"/>
      <c r="AA275" s="134"/>
      <c r="AE275" s="132"/>
      <c r="AF275" s="132"/>
    </row>
    <row r="276" spans="1:32" s="22" customFormat="1" ht="15" customHeight="1">
      <c r="A276" s="346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40"/>
      <c r="R276" s="341">
        <v>6</v>
      </c>
      <c r="S276" s="144">
        <v>4</v>
      </c>
      <c r="T276" s="145"/>
      <c r="U276" s="154"/>
      <c r="V276" s="342"/>
      <c r="W276" s="145">
        <v>6</v>
      </c>
      <c r="X276" s="145">
        <v>12</v>
      </c>
      <c r="Y276" s="142"/>
      <c r="Z276" s="284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313"/>
      <c r="I277" s="313">
        <v>8</v>
      </c>
      <c r="J277" s="313">
        <v>9</v>
      </c>
      <c r="K277" s="34">
        <v>5</v>
      </c>
      <c r="L277" s="313">
        <v>3</v>
      </c>
      <c r="M277" s="29"/>
      <c r="N277" s="313">
        <v>7</v>
      </c>
      <c r="O277" s="313"/>
      <c r="P277" s="318">
        <v>3</v>
      </c>
      <c r="Q277" s="336">
        <v>5</v>
      </c>
      <c r="R277" s="332"/>
      <c r="S277" s="136"/>
      <c r="T277" s="74">
        <v>3</v>
      </c>
      <c r="U277" s="77">
        <v>4</v>
      </c>
      <c r="V277" s="329">
        <v>4</v>
      </c>
      <c r="W277" s="74"/>
      <c r="X277" s="74"/>
      <c r="Y277" s="29">
        <v>4</v>
      </c>
      <c r="Z277" s="265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330"/>
      <c r="I278" s="330"/>
      <c r="J278" s="330"/>
      <c r="K278" s="93"/>
      <c r="L278" s="330"/>
      <c r="M278" s="25"/>
      <c r="N278" s="330"/>
      <c r="O278" s="330"/>
      <c r="P278" s="339"/>
      <c r="Q278" s="338"/>
      <c r="R278" s="334"/>
      <c r="S278" s="138"/>
      <c r="T278" s="138"/>
      <c r="U278" s="138"/>
      <c r="V278" s="138"/>
      <c r="W278" s="138"/>
      <c r="X278" s="57"/>
      <c r="Y278" s="25"/>
      <c r="Z278" s="291"/>
      <c r="AA278" s="134"/>
      <c r="AE278" s="134"/>
      <c r="AF278" s="134"/>
    </row>
    <row r="279" spans="1:32" s="22" customFormat="1" ht="15" customHeight="1">
      <c r="A279" s="245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40">
        <v>4</v>
      </c>
      <c r="R279" s="341"/>
      <c r="S279" s="144">
        <v>1</v>
      </c>
      <c r="T279" s="145"/>
      <c r="U279" s="145"/>
      <c r="V279" s="342"/>
      <c r="W279" s="145"/>
      <c r="X279" s="145"/>
      <c r="Y279" s="142"/>
      <c r="Z279" s="284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313"/>
      <c r="I280" s="313">
        <v>14</v>
      </c>
      <c r="J280" s="313">
        <v>8</v>
      </c>
      <c r="K280" s="34">
        <v>4</v>
      </c>
      <c r="L280" s="313">
        <v>12</v>
      </c>
      <c r="M280" s="29"/>
      <c r="N280" s="313">
        <v>13</v>
      </c>
      <c r="O280" s="313">
        <v>11</v>
      </c>
      <c r="P280" s="318">
        <v>2</v>
      </c>
      <c r="Q280" s="336"/>
      <c r="R280" s="332">
        <v>5</v>
      </c>
      <c r="S280" s="136"/>
      <c r="T280" s="74">
        <v>15</v>
      </c>
      <c r="U280" s="74">
        <v>10</v>
      </c>
      <c r="V280" s="329">
        <v>10</v>
      </c>
      <c r="W280" s="74">
        <v>13</v>
      </c>
      <c r="X280" s="74">
        <v>6</v>
      </c>
      <c r="Y280" s="29">
        <v>10</v>
      </c>
      <c r="Z280" s="265"/>
      <c r="AA280" s="134"/>
      <c r="AE280" s="132"/>
      <c r="AF280" s="132"/>
    </row>
    <row r="281" spans="1:32" s="22" customFormat="1" ht="15" customHeight="1">
      <c r="A281" s="245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40"/>
      <c r="R281" s="341"/>
      <c r="S281" s="144"/>
      <c r="T281" s="145"/>
      <c r="U281" s="154"/>
      <c r="V281" s="342"/>
      <c r="W281" s="145"/>
      <c r="X281" s="145"/>
      <c r="Y281" s="142"/>
      <c r="Z281" s="274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313"/>
      <c r="I282" s="313">
        <v>13</v>
      </c>
      <c r="J282" s="313">
        <v>7</v>
      </c>
      <c r="K282" s="34">
        <v>11</v>
      </c>
      <c r="L282" s="313">
        <v>11</v>
      </c>
      <c r="M282" s="29">
        <v>13</v>
      </c>
      <c r="N282" s="313">
        <v>8</v>
      </c>
      <c r="O282" s="313">
        <v>1</v>
      </c>
      <c r="P282" s="318"/>
      <c r="Q282" s="336">
        <v>3</v>
      </c>
      <c r="R282" s="332">
        <v>7</v>
      </c>
      <c r="S282" s="136">
        <v>12</v>
      </c>
      <c r="T282" s="74">
        <v>14</v>
      </c>
      <c r="U282" s="77">
        <v>5</v>
      </c>
      <c r="V282" s="329">
        <v>2</v>
      </c>
      <c r="W282" s="74">
        <v>8</v>
      </c>
      <c r="X282" s="74">
        <v>8</v>
      </c>
      <c r="Y282" s="29">
        <v>8</v>
      </c>
      <c r="Z282" s="284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84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389" t="s">
        <v>433</v>
      </c>
      <c r="AA284" s="390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84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84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45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70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313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318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218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311"/>
      <c r="I293" s="57"/>
      <c r="J293" s="57"/>
      <c r="K293" s="57"/>
      <c r="L293" s="57"/>
      <c r="M293" s="35"/>
      <c r="N293" s="57"/>
      <c r="O293" s="57"/>
      <c r="P293" s="63"/>
      <c r="Q293" s="348"/>
      <c r="R293" s="137"/>
      <c r="S293" s="347"/>
      <c r="T293" s="347"/>
      <c r="U293" s="347"/>
      <c r="V293" s="347"/>
      <c r="W293" s="347"/>
      <c r="X293" s="57"/>
      <c r="Y293" s="35"/>
      <c r="AA293" s="134"/>
      <c r="AB293" s="221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312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317"/>
      <c r="T294" s="75"/>
      <c r="U294" s="75"/>
      <c r="V294" s="37"/>
      <c r="W294" s="75"/>
      <c r="X294" s="75">
        <v>2</v>
      </c>
      <c r="Y294" s="28"/>
      <c r="Z294" s="146"/>
      <c r="AA294" s="134"/>
      <c r="AB294" s="218" t="s">
        <v>121</v>
      </c>
      <c r="AC294" s="134"/>
      <c r="AD294" s="134"/>
    </row>
    <row r="295" spans="1:30" s="22" customFormat="1" ht="15" customHeight="1">
      <c r="A295" s="247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46" t="s">
        <v>252</v>
      </c>
      <c r="AC295" s="132"/>
      <c r="AD295" s="132"/>
    </row>
    <row r="296" spans="1:30" s="22" customFormat="1" ht="15" customHeight="1">
      <c r="A296" s="245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46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313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318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221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312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317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221" t="s">
        <v>255</v>
      </c>
      <c r="AC298" s="134"/>
      <c r="AD298" s="134"/>
    </row>
    <row r="299" spans="1:30" s="22" customFormat="1" ht="15" customHeight="1">
      <c r="A299" s="247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46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312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317"/>
      <c r="T300" s="75"/>
      <c r="U300" s="76"/>
      <c r="V300" s="37"/>
      <c r="W300" s="75"/>
      <c r="X300" s="75"/>
      <c r="Y300" s="28"/>
      <c r="Z300" s="109"/>
      <c r="AA300" s="109"/>
      <c r="AB300" s="221" t="s">
        <v>257</v>
      </c>
      <c r="AC300" s="132"/>
      <c r="AD300" s="132"/>
    </row>
    <row r="301" spans="1:30" s="22" customFormat="1" ht="15" customHeight="1">
      <c r="A301" s="247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46" t="s">
        <v>258</v>
      </c>
      <c r="AC301" s="132"/>
      <c r="AD301" s="132"/>
    </row>
    <row r="302" spans="1:30" s="22" customFormat="1" ht="15" customHeight="1">
      <c r="A302" s="245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46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313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318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221" t="s">
        <v>260</v>
      </c>
      <c r="AC303" s="134"/>
      <c r="AD303" s="134"/>
    </row>
    <row r="304" spans="1:30" s="22" customFormat="1" ht="15" customHeight="1">
      <c r="A304" s="245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46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313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318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221" t="s">
        <v>262</v>
      </c>
      <c r="AC305" s="134"/>
      <c r="AD305" s="134"/>
    </row>
    <row r="306" spans="1:33" s="22" customFormat="1" ht="15" customHeight="1">
      <c r="A306" s="245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44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313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318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221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313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318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218" t="s">
        <v>264</v>
      </c>
      <c r="AC308" s="134"/>
      <c r="AD308" s="134"/>
    </row>
    <row r="309" spans="1:33" s="22" customFormat="1" ht="15" customHeight="1">
      <c r="A309" s="299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70"/>
      <c r="AC309" s="146"/>
    </row>
    <row r="310" spans="1:33" s="22" customFormat="1" ht="15" customHeight="1">
      <c r="A310" s="245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84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313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318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65"/>
      <c r="AA311" s="134"/>
      <c r="AB311" s="134"/>
      <c r="AC311" s="146"/>
    </row>
    <row r="312" spans="1:33" s="22" customFormat="1" ht="15" customHeight="1">
      <c r="A312" s="245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74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313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318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65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312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317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65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47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84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311"/>
      <c r="I316" s="57"/>
      <c r="J316" s="57"/>
      <c r="K316" s="57"/>
      <c r="L316" s="57"/>
      <c r="M316" s="35"/>
      <c r="N316" s="57"/>
      <c r="O316" s="57"/>
      <c r="P316" s="63"/>
      <c r="Q316" s="348"/>
      <c r="R316" s="137"/>
      <c r="S316" s="347"/>
      <c r="T316" s="347"/>
      <c r="U316" s="347"/>
      <c r="V316" s="347"/>
      <c r="W316" s="347"/>
      <c r="X316" s="57"/>
      <c r="Y316" s="35"/>
      <c r="Z316" s="265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45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74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313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318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65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65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49" t="s">
        <v>434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50" t="s">
        <v>435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65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293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237">
        <v>10</v>
      </c>
      <c r="W327" s="75">
        <v>11</v>
      </c>
      <c r="X327" s="75">
        <v>7</v>
      </c>
      <c r="Y327" s="33">
        <v>10</v>
      </c>
      <c r="AA327" s="109"/>
      <c r="AB327" s="220" t="s">
        <v>7</v>
      </c>
      <c r="AC327" s="132"/>
      <c r="AD327" s="27"/>
    </row>
    <row r="328" spans="1:33" s="22" customFormat="1" ht="15" customHeight="1">
      <c r="A328" s="247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44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295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221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293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237">
        <v>2</v>
      </c>
      <c r="W330" s="75"/>
      <c r="X330" s="75"/>
      <c r="Y330" s="33"/>
      <c r="Z330" s="146"/>
      <c r="AA330" s="109"/>
      <c r="AB330" s="218" t="s">
        <v>124</v>
      </c>
      <c r="AC330" s="132"/>
      <c r="AD330" s="27"/>
    </row>
    <row r="331" spans="1:33" s="22" customFormat="1" ht="15" customHeight="1">
      <c r="A331" s="247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46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293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237"/>
      <c r="W332" s="75"/>
      <c r="X332" s="75"/>
      <c r="Y332" s="33"/>
      <c r="Z332" s="146"/>
      <c r="AB332" s="221" t="s">
        <v>267</v>
      </c>
      <c r="AC332" s="134"/>
      <c r="AD332" s="27"/>
    </row>
    <row r="333" spans="1:33" s="22" customFormat="1" ht="15" customHeight="1">
      <c r="A333" s="247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46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293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237"/>
      <c r="W334" s="75"/>
      <c r="X334" s="75"/>
      <c r="Y334" s="33"/>
      <c r="Z334" s="146"/>
      <c r="AB334" s="221" t="s">
        <v>269</v>
      </c>
      <c r="AC334" s="132"/>
      <c r="AD334" s="27"/>
    </row>
    <row r="335" spans="1:33" s="22" customFormat="1" ht="15" customHeight="1">
      <c r="A335" s="247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46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293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237"/>
      <c r="W336" s="75"/>
      <c r="X336" s="75">
        <v>8</v>
      </c>
      <c r="Y336" s="33">
        <v>2</v>
      </c>
      <c r="Z336" s="146"/>
      <c r="AB336" s="221" t="s">
        <v>271</v>
      </c>
      <c r="AC336" s="134"/>
      <c r="AD336" s="134"/>
    </row>
    <row r="337" spans="1:32" s="22" customFormat="1" ht="15" customHeight="1">
      <c r="A337" s="247" t="s">
        <v>50</v>
      </c>
      <c r="B337" s="164"/>
      <c r="C337" s="148"/>
      <c r="D337" s="351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46" t="s">
        <v>272</v>
      </c>
      <c r="AC337" s="132"/>
      <c r="AD337" s="27"/>
    </row>
    <row r="338" spans="1:32" s="22" customFormat="1" ht="15" customHeight="1">
      <c r="A338" s="245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46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294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292">
        <v>9</v>
      </c>
      <c r="W339" s="74">
        <v>10</v>
      </c>
      <c r="X339" s="74">
        <v>10</v>
      </c>
      <c r="Y339" s="34">
        <v>9</v>
      </c>
      <c r="Z339" s="109"/>
      <c r="AB339" s="221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293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237">
        <v>1</v>
      </c>
      <c r="W340" s="75">
        <v>1</v>
      </c>
      <c r="X340" s="75">
        <v>6</v>
      </c>
      <c r="Y340" s="33">
        <v>7</v>
      </c>
      <c r="Z340" s="109"/>
      <c r="AB340" s="221" t="s">
        <v>275</v>
      </c>
      <c r="AC340" s="134"/>
      <c r="AD340"/>
    </row>
    <row r="341" spans="1:32" s="22" customFormat="1" ht="15" customHeight="1">
      <c r="A341" s="247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46" t="s">
        <v>276</v>
      </c>
      <c r="AC341" s="132"/>
      <c r="AD341" s="132"/>
    </row>
    <row r="342" spans="1:32" s="22" customFormat="1" ht="15" customHeight="1">
      <c r="A342" s="245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46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294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292"/>
      <c r="W343" s="74"/>
      <c r="X343" s="74"/>
      <c r="Y343" s="34"/>
      <c r="Z343" s="109"/>
      <c r="AB343" s="218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293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237">
        <v>14</v>
      </c>
      <c r="W344" s="75"/>
      <c r="X344" s="75">
        <v>12</v>
      </c>
      <c r="Y344" s="33">
        <v>11</v>
      </c>
      <c r="Z344" s="109"/>
      <c r="AB344" s="221" t="s">
        <v>278</v>
      </c>
      <c r="AC344" s="134"/>
      <c r="AD344" s="134"/>
    </row>
    <row r="345" spans="1:32" s="22" customFormat="1" ht="15" customHeight="1">
      <c r="A345" s="247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44" t="s">
        <v>436</v>
      </c>
    </row>
    <row r="346" spans="1:32" s="22" customFormat="1" ht="15" customHeight="1">
      <c r="A346" s="245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294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292">
        <v>12</v>
      </c>
      <c r="W347" s="74">
        <v>12</v>
      </c>
      <c r="X347" s="74">
        <v>13</v>
      </c>
      <c r="Y347" s="34">
        <v>14</v>
      </c>
      <c r="Z347" s="265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293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237">
        <v>7</v>
      </c>
      <c r="W348" s="75">
        <v>2</v>
      </c>
      <c r="X348" s="75">
        <v>2</v>
      </c>
      <c r="Y348" s="33">
        <v>6</v>
      </c>
      <c r="Z348" s="291"/>
      <c r="AA348" s="134"/>
      <c r="AB348" s="134"/>
      <c r="AD348" s="1"/>
      <c r="AE348" s="132"/>
      <c r="AF348" s="132"/>
    </row>
    <row r="349" spans="1:32" s="22" customFormat="1" ht="15" customHeight="1">
      <c r="A349" s="247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74"/>
      <c r="AA349" s="132"/>
      <c r="AB349" s="132"/>
      <c r="AE349" s="132"/>
      <c r="AF349" s="132"/>
    </row>
    <row r="350" spans="1:32" s="22" customFormat="1" ht="15" customHeight="1">
      <c r="A350" s="245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84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294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292"/>
      <c r="W351" s="74">
        <v>3</v>
      </c>
      <c r="X351" s="74"/>
      <c r="Y351" s="34">
        <v>1</v>
      </c>
      <c r="Z351" s="265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294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292">
        <v>5</v>
      </c>
      <c r="W352" s="74">
        <v>4</v>
      </c>
      <c r="X352" s="74">
        <v>3</v>
      </c>
      <c r="Y352" s="34">
        <v>4</v>
      </c>
      <c r="Z352" s="265"/>
      <c r="AA352" s="134"/>
      <c r="AB352" s="134"/>
      <c r="AE352" s="134"/>
      <c r="AF352" s="134"/>
    </row>
    <row r="353" spans="1:32" s="22" customFormat="1" ht="15" customHeight="1">
      <c r="A353" s="299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52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84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295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65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293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237">
        <v>4</v>
      </c>
      <c r="W355" s="75"/>
      <c r="X355" s="75"/>
      <c r="Y355" s="33"/>
      <c r="Z355" s="291"/>
      <c r="AA355" s="134"/>
      <c r="AB355" s="134"/>
      <c r="AE355" s="132"/>
      <c r="AF355" s="132"/>
    </row>
    <row r="356" spans="1:32" s="22" customFormat="1" ht="15" customHeight="1">
      <c r="A356" s="266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84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65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53" t="s">
        <v>439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54" t="s">
        <v>438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84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242" t="s">
        <v>59</v>
      </c>
      <c r="B365" s="141"/>
      <c r="C365" s="142"/>
      <c r="D365" s="143"/>
      <c r="E365" s="144"/>
      <c r="F365" s="143"/>
      <c r="G365" s="143"/>
      <c r="H365" s="143"/>
      <c r="I365" s="143"/>
      <c r="J365" s="143"/>
      <c r="K365" s="143"/>
      <c r="L365" s="143"/>
      <c r="M365" s="143"/>
      <c r="N365" s="144"/>
      <c r="O365" s="143"/>
      <c r="P365" s="144"/>
      <c r="Q365" s="357"/>
      <c r="R365" s="357"/>
      <c r="S365" s="357"/>
      <c r="T365" s="145" t="s">
        <v>413</v>
      </c>
      <c r="U365" s="170"/>
      <c r="V365" s="144"/>
      <c r="W365" s="145"/>
      <c r="X365" s="145"/>
      <c r="Y365" s="141"/>
      <c r="AB365" s="270" t="s">
        <v>8</v>
      </c>
      <c r="AD365" s="132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294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68">
        <v>10</v>
      </c>
      <c r="R366" s="362">
        <v>13</v>
      </c>
      <c r="S366" s="358">
        <v>13</v>
      </c>
      <c r="T366" s="92">
        <v>12</v>
      </c>
      <c r="U366" s="88">
        <v>14</v>
      </c>
      <c r="V366" s="36">
        <v>12</v>
      </c>
      <c r="W366" s="74">
        <v>12</v>
      </c>
      <c r="X366" s="356">
        <v>14</v>
      </c>
      <c r="Y366" s="31">
        <v>13</v>
      </c>
      <c r="AA366" s="1"/>
      <c r="AB366" s="218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295"/>
      <c r="I367" s="57"/>
      <c r="J367" s="57"/>
      <c r="K367" s="57"/>
      <c r="L367" s="57"/>
      <c r="M367" s="60"/>
      <c r="N367" s="63"/>
      <c r="O367" s="57"/>
      <c r="P367" s="63"/>
      <c r="Q367" s="369"/>
      <c r="R367" s="359"/>
      <c r="S367" s="359"/>
      <c r="T367" s="63"/>
      <c r="U367" s="63"/>
      <c r="V367" s="63"/>
      <c r="W367" s="63"/>
      <c r="X367" s="311"/>
      <c r="Y367" s="93"/>
      <c r="AB367" s="221" t="s">
        <v>279</v>
      </c>
      <c r="AC367" s="109"/>
      <c r="AD367"/>
    </row>
    <row r="368" spans="1:32" s="22" customFormat="1" ht="15" customHeight="1">
      <c r="A368" s="245" t="s">
        <v>54</v>
      </c>
      <c r="B368" s="386" t="s">
        <v>437</v>
      </c>
      <c r="C368" s="142"/>
      <c r="D368" s="143"/>
      <c r="E368" s="144"/>
      <c r="F368" s="143"/>
      <c r="G368" s="143"/>
      <c r="H368" s="143"/>
      <c r="I368" s="143"/>
      <c r="J368" s="143"/>
      <c r="K368" s="143"/>
      <c r="L368" s="143"/>
      <c r="M368" s="143"/>
      <c r="N368" s="144"/>
      <c r="O368" s="143"/>
      <c r="P368" s="144"/>
      <c r="Q368" s="357"/>
      <c r="R368" s="370"/>
      <c r="S368" s="357"/>
      <c r="T368" s="166"/>
      <c r="U368" s="166"/>
      <c r="V368" s="144"/>
      <c r="W368" s="145"/>
      <c r="X368" s="145">
        <v>6</v>
      </c>
      <c r="Y368" s="141"/>
      <c r="Z368" s="146"/>
      <c r="AB368" s="244" t="s">
        <v>127</v>
      </c>
      <c r="AC368" s="146"/>
      <c r="AD368" s="27"/>
    </row>
    <row r="369" spans="1:32" s="22" customFormat="1" ht="15" customHeight="1">
      <c r="A369" s="7" t="s">
        <v>49</v>
      </c>
      <c r="B369" s="388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294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68">
        <v>11</v>
      </c>
      <c r="R369" s="362">
        <v>10</v>
      </c>
      <c r="S369" s="358">
        <v>10</v>
      </c>
      <c r="T369" s="92">
        <v>11</v>
      </c>
      <c r="U369" s="92">
        <v>9</v>
      </c>
      <c r="V369" s="36">
        <v>10</v>
      </c>
      <c r="W369" s="74">
        <v>9</v>
      </c>
      <c r="X369" s="356"/>
      <c r="Y369" s="31">
        <v>12</v>
      </c>
      <c r="Z369" s="109"/>
      <c r="AA369" s="1"/>
      <c r="AB369" s="221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293"/>
      <c r="I370" s="33"/>
      <c r="J370" s="33"/>
      <c r="K370" s="33"/>
      <c r="L370" s="33"/>
      <c r="M370" s="33">
        <v>6</v>
      </c>
      <c r="N370" s="37"/>
      <c r="O370" s="33"/>
      <c r="P370" s="37"/>
      <c r="Q370" s="367"/>
      <c r="R370" s="364"/>
      <c r="S370" s="360"/>
      <c r="T370" s="90"/>
      <c r="U370" s="90"/>
      <c r="V370" s="37"/>
      <c r="W370" s="75"/>
      <c r="X370" s="355"/>
      <c r="Y370" s="30"/>
      <c r="Z370" s="109"/>
      <c r="AB370" s="221" t="s">
        <v>281</v>
      </c>
      <c r="AC370" s="109"/>
      <c r="AD370"/>
    </row>
    <row r="371" spans="1:32" s="22" customFormat="1" ht="15" customHeight="1">
      <c r="A371" s="247" t="s">
        <v>48</v>
      </c>
      <c r="B371" s="147"/>
      <c r="C371" s="148">
        <v>10</v>
      </c>
      <c r="D371" s="149">
        <v>9</v>
      </c>
      <c r="E371" s="150">
        <v>13</v>
      </c>
      <c r="F371" s="149">
        <v>10</v>
      </c>
      <c r="G371" s="149">
        <v>2</v>
      </c>
      <c r="H371" s="149">
        <v>10</v>
      </c>
      <c r="I371" s="149">
        <v>8</v>
      </c>
      <c r="J371" s="149">
        <v>11</v>
      </c>
      <c r="K371" s="149">
        <v>13</v>
      </c>
      <c r="L371" s="149">
        <v>12</v>
      </c>
      <c r="M371" s="149"/>
      <c r="N371" s="150">
        <v>3</v>
      </c>
      <c r="O371" s="149">
        <v>11</v>
      </c>
      <c r="P371" s="150">
        <v>11</v>
      </c>
      <c r="Q371" s="361">
        <v>12</v>
      </c>
      <c r="R371" s="371">
        <v>9</v>
      </c>
      <c r="S371" s="361">
        <v>9</v>
      </c>
      <c r="T371" s="164">
        <v>10</v>
      </c>
      <c r="U371" s="164">
        <v>6</v>
      </c>
      <c r="V371" s="150">
        <v>9</v>
      </c>
      <c r="W371" s="151">
        <v>11</v>
      </c>
      <c r="X371" s="151">
        <v>5</v>
      </c>
      <c r="Y371" s="147">
        <v>11</v>
      </c>
      <c r="Z371" s="146"/>
      <c r="AB371" s="246" t="s">
        <v>282</v>
      </c>
      <c r="AC371" s="146"/>
      <c r="AD371" s="132"/>
    </row>
    <row r="372" spans="1:32" s="22" customFormat="1" ht="15" customHeight="1">
      <c r="A372" s="245" t="s">
        <v>36</v>
      </c>
      <c r="B372" s="141"/>
      <c r="C372" s="142"/>
      <c r="D372" s="143"/>
      <c r="E372" s="144"/>
      <c r="F372" s="143"/>
      <c r="G372" s="143"/>
      <c r="H372" s="143"/>
      <c r="I372" s="143"/>
      <c r="J372" s="143"/>
      <c r="K372" s="143"/>
      <c r="L372" s="143"/>
      <c r="M372" s="143">
        <v>5</v>
      </c>
      <c r="N372" s="144"/>
      <c r="O372" s="143"/>
      <c r="P372" s="144">
        <v>1</v>
      </c>
      <c r="Q372" s="357"/>
      <c r="R372" s="371">
        <v>7</v>
      </c>
      <c r="S372" s="357"/>
      <c r="T372" s="166"/>
      <c r="U372" s="166"/>
      <c r="V372" s="144"/>
      <c r="W372" s="145"/>
      <c r="X372" s="145"/>
      <c r="Y372" s="141"/>
      <c r="Z372" s="146"/>
      <c r="AB372" s="246" t="s">
        <v>283</v>
      </c>
      <c r="AC372" s="146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294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68">
        <v>1</v>
      </c>
      <c r="R373" s="362"/>
      <c r="S373" s="358">
        <v>7</v>
      </c>
      <c r="T373" s="92">
        <v>8</v>
      </c>
      <c r="U373" s="92">
        <v>4</v>
      </c>
      <c r="V373" s="36">
        <v>8</v>
      </c>
      <c r="W373" s="74">
        <v>8</v>
      </c>
      <c r="X373" s="356">
        <v>12</v>
      </c>
      <c r="Y373" s="31">
        <v>2</v>
      </c>
      <c r="Z373" s="146"/>
      <c r="AB373" s="221" t="s">
        <v>284</v>
      </c>
      <c r="AC373" s="146"/>
      <c r="AD373" s="134"/>
    </row>
    <row r="374" spans="1:32" s="22" customFormat="1" ht="15" customHeight="1">
      <c r="A374" s="245" t="s">
        <v>39</v>
      </c>
      <c r="B374" s="141"/>
      <c r="C374" s="143">
        <v>3</v>
      </c>
      <c r="D374" s="143">
        <v>1</v>
      </c>
      <c r="E374" s="144"/>
      <c r="F374" s="143"/>
      <c r="G374" s="143">
        <v>12</v>
      </c>
      <c r="H374" s="143"/>
      <c r="I374" s="143"/>
      <c r="J374" s="143">
        <v>4</v>
      </c>
      <c r="K374" s="143"/>
      <c r="L374" s="143">
        <v>3</v>
      </c>
      <c r="M374" s="143">
        <v>4</v>
      </c>
      <c r="N374" s="144"/>
      <c r="O374" s="143">
        <v>3</v>
      </c>
      <c r="P374" s="144"/>
      <c r="Q374" s="357">
        <v>2</v>
      </c>
      <c r="R374" s="372"/>
      <c r="S374" s="357">
        <v>1</v>
      </c>
      <c r="T374" s="166">
        <v>6</v>
      </c>
      <c r="U374" s="166">
        <v>7</v>
      </c>
      <c r="V374" s="144">
        <v>5</v>
      </c>
      <c r="W374" s="145">
        <v>2</v>
      </c>
      <c r="X374" s="145">
        <v>1</v>
      </c>
      <c r="Y374" s="141">
        <v>1</v>
      </c>
      <c r="Z374" s="146"/>
      <c r="AA374" s="146"/>
      <c r="AB374" s="246" t="s">
        <v>285</v>
      </c>
      <c r="AC374" s="146"/>
      <c r="AD374" s="27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294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68"/>
      <c r="R375" s="365">
        <v>1</v>
      </c>
      <c r="S375" s="361"/>
      <c r="T375" s="92"/>
      <c r="U375" s="92"/>
      <c r="V375" s="36"/>
      <c r="W375" s="74"/>
      <c r="X375" s="356"/>
      <c r="Y375" s="31"/>
      <c r="Z375" s="146"/>
      <c r="AA375" s="146"/>
      <c r="AB375" s="221" t="s">
        <v>286</v>
      </c>
      <c r="AC375" s="146"/>
      <c r="AD375" s="27"/>
    </row>
    <row r="376" spans="1:32" s="22" customFormat="1" ht="15" customHeight="1">
      <c r="A376" s="245" t="s">
        <v>34</v>
      </c>
      <c r="B376" s="141"/>
      <c r="C376" s="143">
        <v>11</v>
      </c>
      <c r="D376" s="143">
        <v>7</v>
      </c>
      <c r="E376" s="144">
        <v>14</v>
      </c>
      <c r="F376" s="143">
        <v>13</v>
      </c>
      <c r="G376" s="143">
        <v>11</v>
      </c>
      <c r="H376" s="143">
        <v>14</v>
      </c>
      <c r="I376" s="143">
        <v>14</v>
      </c>
      <c r="J376" s="143">
        <v>14</v>
      </c>
      <c r="K376" s="143">
        <v>12</v>
      </c>
      <c r="L376" s="143">
        <v>9</v>
      </c>
      <c r="M376" s="143">
        <v>14</v>
      </c>
      <c r="N376" s="144">
        <v>13</v>
      </c>
      <c r="O376" s="143">
        <v>12</v>
      </c>
      <c r="P376" s="144">
        <v>12</v>
      </c>
      <c r="Q376" s="357">
        <v>14</v>
      </c>
      <c r="R376" s="373">
        <v>14</v>
      </c>
      <c r="S376" s="357">
        <v>14</v>
      </c>
      <c r="T376" s="166">
        <v>14</v>
      </c>
      <c r="U376" s="166">
        <v>13</v>
      </c>
      <c r="V376" s="144">
        <v>14</v>
      </c>
      <c r="W376" s="145">
        <v>13</v>
      </c>
      <c r="X376" s="145">
        <v>8</v>
      </c>
      <c r="Y376" s="141">
        <v>14</v>
      </c>
      <c r="Z376" s="146"/>
      <c r="AA376" s="146"/>
      <c r="AB376" s="246" t="s">
        <v>287</v>
      </c>
      <c r="AC376" s="146"/>
      <c r="AD376" s="132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294"/>
      <c r="I377" s="34"/>
      <c r="J377" s="34"/>
      <c r="K377" s="34"/>
      <c r="L377" s="34"/>
      <c r="M377" s="34"/>
      <c r="N377" s="36"/>
      <c r="O377" s="34"/>
      <c r="P377" s="36"/>
      <c r="Q377" s="368"/>
      <c r="R377" s="366"/>
      <c r="S377" s="358"/>
      <c r="T377" s="92"/>
      <c r="U377" s="92"/>
      <c r="V377" s="36"/>
      <c r="W377" s="74"/>
      <c r="X377" s="356"/>
      <c r="Y377" s="31"/>
      <c r="Z377" s="109"/>
      <c r="AA377" s="146"/>
      <c r="AB377" s="221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293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67">
        <v>3</v>
      </c>
      <c r="R378" s="363"/>
      <c r="S378" s="360">
        <v>6</v>
      </c>
      <c r="T378" s="90">
        <v>9</v>
      </c>
      <c r="U378" s="90"/>
      <c r="V378" s="37">
        <v>6</v>
      </c>
      <c r="W378" s="75"/>
      <c r="X378" s="355">
        <v>3</v>
      </c>
      <c r="Y378" s="30">
        <v>8</v>
      </c>
      <c r="Z378" s="146"/>
      <c r="AA378" s="109"/>
      <c r="AB378" s="221" t="s">
        <v>289</v>
      </c>
      <c r="AC378" s="109"/>
      <c r="AD378" s="134"/>
    </row>
    <row r="379" spans="1:32" s="22" customFormat="1" ht="15" customHeight="1">
      <c r="A379" s="247" t="s">
        <v>31</v>
      </c>
      <c r="B379" s="147"/>
      <c r="C379" s="149"/>
      <c r="D379" s="149">
        <v>6</v>
      </c>
      <c r="E379" s="150">
        <v>4</v>
      </c>
      <c r="F379" s="149"/>
      <c r="G379" s="149">
        <v>6</v>
      </c>
      <c r="H379" s="149">
        <v>9</v>
      </c>
      <c r="I379" s="149"/>
      <c r="J379" s="149"/>
      <c r="K379" s="149"/>
      <c r="L379" s="149"/>
      <c r="M379" s="149"/>
      <c r="N379" s="150">
        <v>7</v>
      </c>
      <c r="O379" s="149"/>
      <c r="P379" s="150"/>
      <c r="Q379" s="361"/>
      <c r="R379" s="373">
        <v>6</v>
      </c>
      <c r="S379" s="361"/>
      <c r="T379" s="164"/>
      <c r="U379" s="164">
        <v>1</v>
      </c>
      <c r="V379" s="150"/>
      <c r="W379" s="151">
        <v>4</v>
      </c>
      <c r="X379" s="151"/>
      <c r="Y379" s="147"/>
      <c r="Z379" s="146"/>
      <c r="AA379" s="146"/>
      <c r="AB379" s="246" t="s">
        <v>290</v>
      </c>
      <c r="AC379" s="146"/>
    </row>
    <row r="380" spans="1:32" s="22" customFormat="1" ht="15" customHeight="1">
      <c r="A380" s="245" t="s">
        <v>47</v>
      </c>
      <c r="B380" s="141"/>
      <c r="C380" s="143">
        <v>1</v>
      </c>
      <c r="D380" s="143"/>
      <c r="E380" s="144"/>
      <c r="F380" s="143">
        <v>5</v>
      </c>
      <c r="G380" s="143"/>
      <c r="H380" s="143">
        <v>7</v>
      </c>
      <c r="I380" s="143">
        <v>5</v>
      </c>
      <c r="J380" s="143">
        <v>13</v>
      </c>
      <c r="K380" s="143">
        <v>4</v>
      </c>
      <c r="L380" s="143">
        <v>5</v>
      </c>
      <c r="M380" s="143">
        <v>10</v>
      </c>
      <c r="N380" s="144">
        <v>2</v>
      </c>
      <c r="O380" s="143">
        <v>2</v>
      </c>
      <c r="P380" s="144"/>
      <c r="Q380" s="357">
        <v>8</v>
      </c>
      <c r="R380" s="372"/>
      <c r="S380" s="357">
        <v>2</v>
      </c>
      <c r="T380" s="166">
        <v>5</v>
      </c>
      <c r="U380" s="166">
        <v>2</v>
      </c>
      <c r="V380" s="144">
        <v>7</v>
      </c>
      <c r="W380" s="145">
        <v>5</v>
      </c>
      <c r="X380" s="145">
        <v>2</v>
      </c>
      <c r="Y380" s="141">
        <v>7</v>
      </c>
      <c r="Z380" s="146"/>
      <c r="AA380" s="146"/>
      <c r="AB380" s="246" t="s">
        <v>291</v>
      </c>
      <c r="AC380" s="146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294"/>
      <c r="I381" s="34"/>
      <c r="J381" s="34"/>
      <c r="K381" s="34"/>
      <c r="L381" s="34"/>
      <c r="M381" s="34"/>
      <c r="N381" s="36"/>
      <c r="O381" s="34"/>
      <c r="P381" s="36">
        <v>6</v>
      </c>
      <c r="Q381" s="368"/>
      <c r="R381" s="365">
        <v>2</v>
      </c>
      <c r="S381" s="361"/>
      <c r="T381" s="92"/>
      <c r="U381" s="92"/>
      <c r="V381" s="36"/>
      <c r="W381" s="74"/>
      <c r="X381" s="356"/>
      <c r="Y381" s="31"/>
      <c r="Z381" s="146"/>
      <c r="AA381" s="109"/>
      <c r="AB381" s="218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293"/>
      <c r="I382" s="33"/>
      <c r="J382" s="33">
        <v>8</v>
      </c>
      <c r="K382" s="33"/>
      <c r="L382" s="33"/>
      <c r="M382" s="33"/>
      <c r="N382" s="37"/>
      <c r="O382" s="33"/>
      <c r="P382" s="37"/>
      <c r="Q382" s="367">
        <v>9</v>
      </c>
      <c r="R382" s="362">
        <v>3</v>
      </c>
      <c r="S382" s="360"/>
      <c r="T382" s="90"/>
      <c r="U382" s="90">
        <v>10</v>
      </c>
      <c r="V382" s="37">
        <v>4</v>
      </c>
      <c r="W382" s="75">
        <v>3</v>
      </c>
      <c r="X382" s="355"/>
      <c r="Y382" s="30"/>
      <c r="AA382" s="146"/>
      <c r="AB382" s="221" t="s">
        <v>292</v>
      </c>
      <c r="AC382" s="109"/>
    </row>
    <row r="383" spans="1:32" s="22" customFormat="1" ht="15" customHeight="1">
      <c r="A383" s="247" t="s">
        <v>41</v>
      </c>
      <c r="B383" s="147"/>
      <c r="C383" s="149">
        <v>4</v>
      </c>
      <c r="D383" s="149">
        <v>12</v>
      </c>
      <c r="E383" s="150">
        <v>8</v>
      </c>
      <c r="F383" s="149">
        <v>7</v>
      </c>
      <c r="G383" s="149"/>
      <c r="H383" s="149">
        <v>4</v>
      </c>
      <c r="I383" s="149">
        <v>3</v>
      </c>
      <c r="J383" s="149"/>
      <c r="K383" s="149">
        <v>7</v>
      </c>
      <c r="L383" s="149">
        <v>4</v>
      </c>
      <c r="M383" s="149">
        <v>3</v>
      </c>
      <c r="N383" s="150">
        <v>8</v>
      </c>
      <c r="O383" s="149">
        <v>4</v>
      </c>
      <c r="P383" s="150">
        <v>7</v>
      </c>
      <c r="Q383" s="361"/>
      <c r="R383" s="372"/>
      <c r="S383" s="361">
        <v>3</v>
      </c>
      <c r="T383" s="164">
        <v>3</v>
      </c>
      <c r="U383" s="164"/>
      <c r="V383" s="150"/>
      <c r="W383" s="151"/>
      <c r="X383" s="151">
        <v>4</v>
      </c>
      <c r="Y383" s="147">
        <v>4</v>
      </c>
      <c r="Z383" s="152"/>
      <c r="AA383" s="146"/>
      <c r="AB383" s="244" t="s">
        <v>440</v>
      </c>
      <c r="AC383" s="146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293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67">
        <v>13</v>
      </c>
      <c r="R384" s="365">
        <v>12</v>
      </c>
      <c r="S384" s="360">
        <v>12</v>
      </c>
      <c r="T384" s="90">
        <v>13</v>
      </c>
      <c r="U384" s="90">
        <v>11</v>
      </c>
      <c r="V384" s="37">
        <v>13</v>
      </c>
      <c r="W384" s="75">
        <v>14</v>
      </c>
      <c r="X384" s="355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247" t="s">
        <v>51</v>
      </c>
      <c r="B385" s="147"/>
      <c r="C385" s="149"/>
      <c r="D385" s="149"/>
      <c r="E385" s="150"/>
      <c r="F385" s="149"/>
      <c r="G385" s="149"/>
      <c r="H385" s="149"/>
      <c r="I385" s="149"/>
      <c r="J385" s="149"/>
      <c r="K385" s="149"/>
      <c r="L385" s="149"/>
      <c r="M385" s="149"/>
      <c r="N385" s="150"/>
      <c r="O385" s="149"/>
      <c r="P385" s="150"/>
      <c r="Q385" s="361"/>
      <c r="R385" s="374"/>
      <c r="S385" s="361"/>
      <c r="T385" s="164"/>
      <c r="U385" s="164"/>
      <c r="V385" s="150"/>
      <c r="W385" s="151"/>
      <c r="X385" s="151"/>
      <c r="Y385" s="147"/>
      <c r="Z385" s="284"/>
      <c r="AA385" s="132"/>
      <c r="AB385" s="132"/>
      <c r="AC385" s="132"/>
      <c r="AE385" s="132"/>
      <c r="AF385" s="132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293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67"/>
      <c r="R386" s="365">
        <v>8</v>
      </c>
      <c r="S386" s="360">
        <v>8</v>
      </c>
      <c r="T386" s="90">
        <v>4</v>
      </c>
      <c r="U386" s="90">
        <v>5</v>
      </c>
      <c r="V386" s="37">
        <v>3</v>
      </c>
      <c r="W386" s="75">
        <v>7</v>
      </c>
      <c r="X386" s="355">
        <v>7</v>
      </c>
      <c r="Y386" s="30">
        <v>6</v>
      </c>
      <c r="Z386" s="265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247" t="s">
        <v>42</v>
      </c>
      <c r="B387" s="147"/>
      <c r="C387" s="149"/>
      <c r="D387" s="149">
        <v>4</v>
      </c>
      <c r="E387" s="150">
        <v>3</v>
      </c>
      <c r="F387" s="149">
        <v>1</v>
      </c>
      <c r="G387" s="149">
        <v>3</v>
      </c>
      <c r="H387" s="149"/>
      <c r="I387" s="149">
        <v>4</v>
      </c>
      <c r="J387" s="149"/>
      <c r="K387" s="149">
        <v>3</v>
      </c>
      <c r="L387" s="149"/>
      <c r="M387" s="149"/>
      <c r="N387" s="150">
        <v>10</v>
      </c>
      <c r="O387" s="149"/>
      <c r="P387" s="150"/>
      <c r="Q387" s="361">
        <v>4</v>
      </c>
      <c r="R387" s="374"/>
      <c r="S387" s="361"/>
      <c r="T387" s="164"/>
      <c r="U387" s="164"/>
      <c r="V387" s="150"/>
      <c r="W387" s="151"/>
      <c r="X387" s="151"/>
      <c r="Y387" s="147"/>
      <c r="Z387" s="284"/>
      <c r="AA387" s="132"/>
      <c r="AB387" s="132"/>
      <c r="AC387" s="132"/>
      <c r="AE387" s="132"/>
      <c r="AF387" s="132"/>
    </row>
    <row r="388" spans="1:32" s="22" customFormat="1" ht="15" customHeight="1">
      <c r="A388" s="245" t="s">
        <v>43</v>
      </c>
      <c r="B388" s="147"/>
      <c r="C388" s="143"/>
      <c r="D388" s="143"/>
      <c r="E388" s="144"/>
      <c r="F388" s="143"/>
      <c r="G388" s="143"/>
      <c r="H388" s="143"/>
      <c r="I388" s="143"/>
      <c r="J388" s="143"/>
      <c r="K388" s="143"/>
      <c r="L388" s="143"/>
      <c r="M388" s="149"/>
      <c r="N388" s="144"/>
      <c r="O388" s="143"/>
      <c r="P388" s="144"/>
      <c r="Q388" s="357"/>
      <c r="R388" s="370"/>
      <c r="S388" s="357"/>
      <c r="T388" s="166"/>
      <c r="U388" s="166"/>
      <c r="V388" s="144"/>
      <c r="W388" s="145"/>
      <c r="X388" s="145"/>
      <c r="Y388" s="147"/>
      <c r="Z388" s="274"/>
      <c r="AA388" s="132"/>
      <c r="AB388" s="132"/>
      <c r="AC388" s="132"/>
      <c r="AE388" s="132"/>
      <c r="AF388" s="132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294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68">
        <v>7</v>
      </c>
      <c r="R389" s="362">
        <v>11</v>
      </c>
      <c r="S389" s="358">
        <v>11</v>
      </c>
      <c r="T389" s="92">
        <v>7</v>
      </c>
      <c r="U389" s="92">
        <v>12</v>
      </c>
      <c r="V389" s="36">
        <v>11</v>
      </c>
      <c r="W389" s="74">
        <v>10</v>
      </c>
      <c r="X389" s="356">
        <v>10</v>
      </c>
      <c r="Y389" s="31">
        <v>10</v>
      </c>
      <c r="Z389" s="265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245" t="s">
        <v>56</v>
      </c>
      <c r="B390" s="147"/>
      <c r="C390" s="143"/>
      <c r="D390" s="143"/>
      <c r="E390" s="144"/>
      <c r="F390" s="143"/>
      <c r="G390" s="143"/>
      <c r="H390" s="143">
        <v>6</v>
      </c>
      <c r="I390" s="143">
        <v>2</v>
      </c>
      <c r="J390" s="143">
        <v>1</v>
      </c>
      <c r="K390" s="143">
        <v>2</v>
      </c>
      <c r="L390" s="143"/>
      <c r="M390" s="149"/>
      <c r="N390" s="144">
        <v>5</v>
      </c>
      <c r="O390" s="143"/>
      <c r="P390" s="144"/>
      <c r="Q390" s="357">
        <v>6</v>
      </c>
      <c r="R390" s="371">
        <v>5</v>
      </c>
      <c r="S390" s="357"/>
      <c r="T390" s="166">
        <v>2</v>
      </c>
      <c r="U390" s="166"/>
      <c r="V390" s="144"/>
      <c r="W390" s="145"/>
      <c r="X390" s="145"/>
      <c r="Y390" s="147"/>
      <c r="Z390" s="274"/>
      <c r="AA390" s="132"/>
      <c r="AB390" s="132"/>
      <c r="AC390" s="132"/>
      <c r="AE390" s="27"/>
      <c r="AF390" s="132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294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68"/>
      <c r="R391" s="363"/>
      <c r="S391" s="358">
        <v>5</v>
      </c>
      <c r="T391" s="92"/>
      <c r="U391" s="92">
        <v>8</v>
      </c>
      <c r="V391" s="36">
        <v>2</v>
      </c>
      <c r="W391" s="74">
        <v>6</v>
      </c>
      <c r="X391" s="356">
        <v>9</v>
      </c>
      <c r="Y391" s="31">
        <v>5</v>
      </c>
      <c r="Z391" s="291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295"/>
      <c r="I392" s="57"/>
      <c r="J392" s="57"/>
      <c r="K392" s="57"/>
      <c r="L392" s="57"/>
      <c r="M392" s="60"/>
      <c r="N392" s="63"/>
      <c r="O392" s="57"/>
      <c r="P392" s="63"/>
      <c r="Q392" s="369"/>
      <c r="R392" s="359"/>
      <c r="S392" s="359"/>
      <c r="T392" s="137"/>
      <c r="U392" s="63"/>
      <c r="V392" s="63"/>
      <c r="W392" s="63"/>
      <c r="X392" s="311"/>
      <c r="Y392" s="60"/>
      <c r="Z392" s="265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293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67">
        <v>5</v>
      </c>
      <c r="R393" s="363"/>
      <c r="S393" s="360">
        <v>4</v>
      </c>
      <c r="T393" s="90"/>
      <c r="U393" s="90">
        <v>3</v>
      </c>
      <c r="V393" s="37"/>
      <c r="W393" s="75"/>
      <c r="X393" s="355"/>
      <c r="Y393" s="31"/>
      <c r="Z393" s="265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294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68"/>
      <c r="R394" s="365">
        <v>4</v>
      </c>
      <c r="S394" s="361"/>
      <c r="T394" s="74">
        <v>1</v>
      </c>
      <c r="U394" s="92"/>
      <c r="V394" s="36">
        <v>1</v>
      </c>
      <c r="W394" s="74">
        <v>1</v>
      </c>
      <c r="X394" s="356">
        <v>11</v>
      </c>
      <c r="Y394" s="31">
        <v>3</v>
      </c>
      <c r="Z394" s="265"/>
      <c r="AA394" s="134"/>
      <c r="AB394" s="134"/>
      <c r="AC394" s="134"/>
      <c r="AE394" s="132"/>
      <c r="AF394" s="132"/>
    </row>
    <row r="395" spans="1:32" ht="15" customHeight="1" thickBo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91"/>
      <c r="AA395" s="134"/>
      <c r="AB395" s="134"/>
      <c r="AC395" s="134"/>
      <c r="AD395" s="22"/>
      <c r="AE395" s="134"/>
      <c r="AF395" s="134"/>
    </row>
    <row r="396" spans="1:32" ht="15" customHeight="1" thickBot="1">
      <c r="A396" s="13" t="s">
        <v>22</v>
      </c>
      <c r="B396" s="18"/>
      <c r="C396" s="157">
        <f>+C366+C369+C370+C373+C375+C377+C378+C381+C382+C384+C386+C389+C391+C393</f>
        <v>76</v>
      </c>
      <c r="D396" s="158">
        <f t="shared" ref="D396:Y396" si="17">+D366+D369+D370+D373+D375+D377+D378+D381+D382+D384+D386+D389+D391+D393</f>
        <v>52</v>
      </c>
      <c r="E396" s="11">
        <f t="shared" si="17"/>
        <v>63</v>
      </c>
      <c r="F396" s="11">
        <f t="shared" si="17"/>
        <v>63</v>
      </c>
      <c r="G396" s="11">
        <f t="shared" si="17"/>
        <v>71</v>
      </c>
      <c r="H396" s="11">
        <f t="shared" si="17"/>
        <v>55</v>
      </c>
      <c r="I396" s="11">
        <f t="shared" si="17"/>
        <v>63</v>
      </c>
      <c r="J396" s="11">
        <f t="shared" si="17"/>
        <v>57</v>
      </c>
      <c r="K396" s="11">
        <f t="shared" si="17"/>
        <v>59</v>
      </c>
      <c r="L396" s="11">
        <f t="shared" si="17"/>
        <v>72</v>
      </c>
      <c r="M396" s="11">
        <f t="shared" si="17"/>
        <v>68</v>
      </c>
      <c r="N396" s="11">
        <f t="shared" si="17"/>
        <v>57</v>
      </c>
      <c r="O396" s="11">
        <f t="shared" si="17"/>
        <v>72</v>
      </c>
      <c r="P396" s="11">
        <f t="shared" si="17"/>
        <v>74</v>
      </c>
      <c r="Q396" s="11">
        <f t="shared" si="17"/>
        <v>59</v>
      </c>
      <c r="R396" s="11">
        <f t="shared" si="17"/>
        <v>60</v>
      </c>
      <c r="S396" s="157">
        <f t="shared" si="17"/>
        <v>76</v>
      </c>
      <c r="T396" s="11">
        <f t="shared" si="17"/>
        <v>64</v>
      </c>
      <c r="U396" s="157">
        <f t="shared" si="17"/>
        <v>76</v>
      </c>
      <c r="V396" s="11">
        <f t="shared" si="17"/>
        <v>69</v>
      </c>
      <c r="W396" s="11">
        <f t="shared" si="17"/>
        <v>69</v>
      </c>
      <c r="X396" s="11">
        <f t="shared" si="17"/>
        <v>68</v>
      </c>
      <c r="Y396" s="11">
        <f t="shared" si="17"/>
        <v>65</v>
      </c>
      <c r="Z396" s="377" t="s">
        <v>442</v>
      </c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378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>
        <f>+C396+C360</f>
        <v>862</v>
      </c>
      <c r="D398" s="66">
        <f t="shared" ref="D398:Y398" si="18">+D396+D360</f>
        <v>725</v>
      </c>
      <c r="E398" s="66">
        <f t="shared" si="18"/>
        <v>715</v>
      </c>
      <c r="F398" s="66">
        <f t="shared" si="18"/>
        <v>840</v>
      </c>
      <c r="G398" s="66">
        <f t="shared" si="18"/>
        <v>754</v>
      </c>
      <c r="H398" s="66">
        <f t="shared" si="18"/>
        <v>789</v>
      </c>
      <c r="I398" s="66">
        <f t="shared" si="18"/>
        <v>828</v>
      </c>
      <c r="J398" s="66">
        <f t="shared" si="18"/>
        <v>791</v>
      </c>
      <c r="K398" s="66">
        <f t="shared" si="18"/>
        <v>793</v>
      </c>
      <c r="L398" s="66">
        <f t="shared" si="18"/>
        <v>846</v>
      </c>
      <c r="M398" s="66">
        <f t="shared" si="18"/>
        <v>703</v>
      </c>
      <c r="N398" s="66">
        <f t="shared" si="18"/>
        <v>826</v>
      </c>
      <c r="O398" s="66">
        <f t="shared" si="18"/>
        <v>803</v>
      </c>
      <c r="P398" s="66">
        <f t="shared" si="18"/>
        <v>835</v>
      </c>
      <c r="Q398" s="66">
        <f t="shared" si="18"/>
        <v>810</v>
      </c>
      <c r="R398" s="66">
        <f t="shared" si="18"/>
        <v>762</v>
      </c>
      <c r="S398" s="66">
        <f t="shared" si="18"/>
        <v>838</v>
      </c>
      <c r="T398" s="66">
        <f t="shared" si="18"/>
        <v>829</v>
      </c>
      <c r="U398" s="66">
        <f t="shared" si="18"/>
        <v>797</v>
      </c>
      <c r="V398" s="66">
        <f t="shared" si="18"/>
        <v>852</v>
      </c>
      <c r="W398" s="66">
        <f t="shared" si="18"/>
        <v>763</v>
      </c>
      <c r="X398" s="66">
        <f t="shared" si="18"/>
        <v>764</v>
      </c>
      <c r="Y398" s="66">
        <f t="shared" si="18"/>
        <v>836</v>
      </c>
      <c r="Z398" s="375" t="s">
        <v>443</v>
      </c>
      <c r="AA398" s="134"/>
      <c r="AB398" s="134"/>
      <c r="AC398" s="134"/>
      <c r="AD398" s="22"/>
    </row>
    <row r="399" spans="1:32" ht="15" customHeight="1">
      <c r="A399" s="13"/>
      <c r="B399" s="18"/>
      <c r="C399" s="16">
        <v>1</v>
      </c>
      <c r="D399" s="16"/>
      <c r="E399" s="16"/>
      <c r="F399" s="16"/>
      <c r="G399" s="16"/>
      <c r="H399" s="16"/>
      <c r="I399" s="16"/>
      <c r="J399" s="16"/>
      <c r="K399" s="16"/>
      <c r="L399" s="16">
        <v>3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</v>
      </c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245" t="s">
        <v>46</v>
      </c>
      <c r="B402" s="142"/>
      <c r="C402" s="376"/>
      <c r="D402" s="143"/>
      <c r="E402" s="144"/>
      <c r="F402" s="143"/>
      <c r="G402" s="143"/>
      <c r="H402" s="143"/>
      <c r="I402" s="143"/>
      <c r="J402" s="143"/>
      <c r="K402" s="143"/>
      <c r="L402" s="143"/>
      <c r="M402" s="142"/>
      <c r="N402" s="143"/>
      <c r="O402" s="143"/>
      <c r="P402" s="357"/>
      <c r="Q402" s="357"/>
      <c r="R402" s="357"/>
      <c r="S402" s="357"/>
      <c r="T402" s="166"/>
      <c r="U402" s="166"/>
      <c r="V402" s="357"/>
      <c r="W402" s="145"/>
      <c r="X402" s="145"/>
      <c r="Y402" s="142"/>
      <c r="AA402" s="146"/>
      <c r="AB402" s="270" t="s">
        <v>9</v>
      </c>
      <c r="AC402" s="27"/>
    </row>
    <row r="403" spans="1:30" s="22" customFormat="1" ht="15" customHeight="1">
      <c r="A403" s="7" t="s">
        <v>52</v>
      </c>
      <c r="B403" s="29"/>
      <c r="C403" s="29">
        <v>15</v>
      </c>
      <c r="D403" s="34">
        <v>15</v>
      </c>
      <c r="E403" s="36">
        <v>15</v>
      </c>
      <c r="F403" s="34">
        <v>15</v>
      </c>
      <c r="G403" s="34">
        <v>15</v>
      </c>
      <c r="H403" s="294">
        <v>15</v>
      </c>
      <c r="I403" s="34">
        <v>15</v>
      </c>
      <c r="J403" s="34">
        <v>12</v>
      </c>
      <c r="K403" s="34">
        <v>15</v>
      </c>
      <c r="L403" s="34">
        <v>15</v>
      </c>
      <c r="M403" s="29">
        <v>15</v>
      </c>
      <c r="N403" s="34">
        <v>15</v>
      </c>
      <c r="O403" s="34">
        <v>15</v>
      </c>
      <c r="P403" s="368">
        <v>14</v>
      </c>
      <c r="Q403" s="368">
        <v>15</v>
      </c>
      <c r="R403" s="358">
        <v>15</v>
      </c>
      <c r="S403" s="358">
        <v>15</v>
      </c>
      <c r="T403" s="92">
        <v>15</v>
      </c>
      <c r="U403" s="92">
        <v>15</v>
      </c>
      <c r="V403" s="368">
        <v>15</v>
      </c>
      <c r="W403" s="74">
        <v>15</v>
      </c>
      <c r="X403" s="74">
        <v>15</v>
      </c>
      <c r="Y403" s="29">
        <v>15</v>
      </c>
      <c r="AA403" s="109"/>
      <c r="AB403" s="218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295"/>
      <c r="I404" s="57"/>
      <c r="J404" s="57"/>
      <c r="K404" s="57"/>
      <c r="L404" s="57"/>
      <c r="M404" s="57"/>
      <c r="N404" s="57"/>
      <c r="O404" s="57"/>
      <c r="P404" s="369"/>
      <c r="Q404" s="369"/>
      <c r="R404" s="359"/>
      <c r="S404" s="359"/>
      <c r="T404" s="359"/>
      <c r="U404" s="359"/>
      <c r="V404" s="369"/>
      <c r="W404" s="359"/>
      <c r="X404" s="63"/>
      <c r="Y404" s="57"/>
      <c r="AA404" s="146"/>
      <c r="AB404" s="221" t="s">
        <v>293</v>
      </c>
      <c r="AD404" s="132"/>
    </row>
    <row r="405" spans="1:30" s="22" customFormat="1" ht="15" customHeight="1">
      <c r="A405" s="245" t="s">
        <v>51</v>
      </c>
      <c r="B405" s="379" t="s">
        <v>441</v>
      </c>
      <c r="C405" s="142"/>
      <c r="D405" s="143"/>
      <c r="E405" s="144"/>
      <c r="F405" s="143">
        <v>6</v>
      </c>
      <c r="G405" s="143"/>
      <c r="H405" s="143"/>
      <c r="I405" s="143"/>
      <c r="J405" s="143">
        <v>3</v>
      </c>
      <c r="K405" s="143"/>
      <c r="L405" s="143"/>
      <c r="M405" s="142"/>
      <c r="N405" s="143"/>
      <c r="O405" s="143"/>
      <c r="P405" s="357"/>
      <c r="Q405" s="357"/>
      <c r="R405" s="357"/>
      <c r="S405" s="357"/>
      <c r="T405" s="166"/>
      <c r="U405" s="166">
        <v>6</v>
      </c>
      <c r="V405" s="357"/>
      <c r="W405" s="145"/>
      <c r="X405" s="145">
        <v>7</v>
      </c>
      <c r="Y405" s="142"/>
      <c r="Z405" s="146"/>
      <c r="AA405" s="146"/>
      <c r="AB405" s="244" t="s">
        <v>130</v>
      </c>
      <c r="AD405" s="132"/>
    </row>
    <row r="406" spans="1:30" s="22" customFormat="1" ht="15" customHeight="1">
      <c r="A406" s="7" t="s">
        <v>53</v>
      </c>
      <c r="B406" s="380"/>
      <c r="C406" s="29">
        <v>10</v>
      </c>
      <c r="D406" s="34">
        <v>14</v>
      </c>
      <c r="E406" s="36">
        <v>8</v>
      </c>
      <c r="F406" s="34"/>
      <c r="G406" s="34">
        <v>1</v>
      </c>
      <c r="H406" s="294">
        <v>12</v>
      </c>
      <c r="I406" s="34">
        <v>1</v>
      </c>
      <c r="J406" s="34"/>
      <c r="K406" s="34">
        <v>1</v>
      </c>
      <c r="L406" s="34">
        <v>8</v>
      </c>
      <c r="M406" s="29">
        <v>8</v>
      </c>
      <c r="N406" s="34">
        <v>10</v>
      </c>
      <c r="O406" s="34">
        <v>8</v>
      </c>
      <c r="P406" s="368">
        <v>1</v>
      </c>
      <c r="Q406" s="368">
        <v>7</v>
      </c>
      <c r="R406" s="358">
        <v>4</v>
      </c>
      <c r="S406" s="358">
        <v>6</v>
      </c>
      <c r="T406" s="92">
        <v>10</v>
      </c>
      <c r="U406" s="92"/>
      <c r="V406" s="368">
        <v>3</v>
      </c>
      <c r="W406" s="74">
        <v>1</v>
      </c>
      <c r="X406" s="74"/>
      <c r="Y406" s="29">
        <v>4</v>
      </c>
      <c r="Z406" s="146"/>
      <c r="AB406" s="221" t="s">
        <v>294</v>
      </c>
      <c r="AD406" s="27"/>
    </row>
    <row r="407" spans="1:30" s="22" customFormat="1" ht="15" customHeight="1">
      <c r="A407" s="9" t="s">
        <v>48</v>
      </c>
      <c r="B407" s="142"/>
      <c r="C407" s="28"/>
      <c r="D407" s="33"/>
      <c r="E407" s="37"/>
      <c r="F407" s="33"/>
      <c r="G407" s="33">
        <v>2</v>
      </c>
      <c r="H407" s="293">
        <v>11</v>
      </c>
      <c r="I407" s="33"/>
      <c r="J407" s="33"/>
      <c r="K407" s="33"/>
      <c r="L407" s="33"/>
      <c r="M407" s="28">
        <v>2</v>
      </c>
      <c r="N407" s="33"/>
      <c r="O407" s="33"/>
      <c r="P407" s="367"/>
      <c r="Q407" s="367">
        <v>4</v>
      </c>
      <c r="R407" s="360">
        <v>2</v>
      </c>
      <c r="S407" s="360"/>
      <c r="T407" s="90"/>
      <c r="U407" s="90">
        <v>9</v>
      </c>
      <c r="V407" s="367"/>
      <c r="W407" s="75"/>
      <c r="X407" s="75"/>
      <c r="Y407" s="28"/>
      <c r="Z407" s="146"/>
      <c r="AA407"/>
      <c r="AB407" s="221" t="s">
        <v>295</v>
      </c>
      <c r="AC407" s="1"/>
      <c r="AD407" s="134"/>
    </row>
    <row r="408" spans="1:30" s="22" customFormat="1" ht="15" customHeight="1">
      <c r="A408" s="247" t="s">
        <v>54</v>
      </c>
      <c r="B408" s="148"/>
      <c r="C408" s="148">
        <v>5</v>
      </c>
      <c r="D408" s="149">
        <v>13</v>
      </c>
      <c r="E408" s="150">
        <v>10</v>
      </c>
      <c r="F408" s="149">
        <v>3</v>
      </c>
      <c r="G408" s="149"/>
      <c r="H408" s="149"/>
      <c r="I408" s="149">
        <v>4</v>
      </c>
      <c r="J408" s="149">
        <v>2</v>
      </c>
      <c r="K408" s="149">
        <v>14</v>
      </c>
      <c r="L408" s="149">
        <v>5</v>
      </c>
      <c r="M408" s="148"/>
      <c r="N408" s="149">
        <v>7</v>
      </c>
      <c r="O408" s="149">
        <v>6</v>
      </c>
      <c r="P408" s="361">
        <v>2</v>
      </c>
      <c r="Q408" s="361"/>
      <c r="R408" s="361"/>
      <c r="S408" s="361">
        <v>5</v>
      </c>
      <c r="T408" s="164">
        <v>3</v>
      </c>
      <c r="U408" s="164"/>
      <c r="V408" s="361">
        <v>10</v>
      </c>
      <c r="W408" s="151">
        <v>8</v>
      </c>
      <c r="X408" s="151">
        <v>2</v>
      </c>
      <c r="Y408" s="148">
        <v>5</v>
      </c>
      <c r="Z408" s="146"/>
      <c r="AA408" s="27"/>
      <c r="AB408" s="246" t="s">
        <v>296</v>
      </c>
      <c r="AD408" s="132"/>
    </row>
    <row r="409" spans="1:30" s="22" customFormat="1" ht="15" customHeight="1">
      <c r="A409" s="245" t="s">
        <v>41</v>
      </c>
      <c r="B409" s="142"/>
      <c r="C409" s="142"/>
      <c r="D409" s="143"/>
      <c r="E409" s="144"/>
      <c r="F409" s="143"/>
      <c r="G409" s="143"/>
      <c r="H409" s="143">
        <v>10</v>
      </c>
      <c r="I409" s="143"/>
      <c r="J409" s="143"/>
      <c r="K409" s="143"/>
      <c r="L409" s="143"/>
      <c r="M409" s="142"/>
      <c r="N409" s="143"/>
      <c r="O409" s="143"/>
      <c r="P409" s="357"/>
      <c r="Q409" s="357"/>
      <c r="R409" s="357"/>
      <c r="S409" s="357"/>
      <c r="T409" s="166"/>
      <c r="U409" s="166"/>
      <c r="V409" s="357"/>
      <c r="W409" s="145"/>
      <c r="X409" s="145"/>
      <c r="Y409" s="142"/>
      <c r="Z409" s="146"/>
      <c r="AA409" s="27"/>
      <c r="AB409" s="246" t="s">
        <v>297</v>
      </c>
      <c r="AD409" s="132"/>
    </row>
    <row r="410" spans="1:30" s="22" customFormat="1" ht="15" customHeight="1">
      <c r="A410" s="7" t="s">
        <v>34</v>
      </c>
      <c r="B410" s="29"/>
      <c r="C410" s="29">
        <v>7</v>
      </c>
      <c r="D410" s="34">
        <v>12</v>
      </c>
      <c r="E410" s="36">
        <v>14</v>
      </c>
      <c r="F410" s="34">
        <v>2</v>
      </c>
      <c r="G410" s="34">
        <v>3</v>
      </c>
      <c r="H410" s="294"/>
      <c r="I410" s="34">
        <v>11</v>
      </c>
      <c r="J410" s="34">
        <v>13</v>
      </c>
      <c r="K410" s="34">
        <v>11</v>
      </c>
      <c r="L410" s="34">
        <v>14</v>
      </c>
      <c r="M410" s="29">
        <v>9</v>
      </c>
      <c r="N410" s="34">
        <v>12</v>
      </c>
      <c r="O410" s="34">
        <v>4</v>
      </c>
      <c r="P410" s="368">
        <v>3</v>
      </c>
      <c r="Q410" s="368">
        <v>5</v>
      </c>
      <c r="R410" s="358">
        <v>10</v>
      </c>
      <c r="S410" s="358">
        <v>11</v>
      </c>
      <c r="T410" s="92">
        <v>4</v>
      </c>
      <c r="U410" s="92">
        <v>5</v>
      </c>
      <c r="V410" s="368">
        <v>4</v>
      </c>
      <c r="W410" s="74">
        <v>14</v>
      </c>
      <c r="X410" s="74">
        <v>6</v>
      </c>
      <c r="Y410" s="29">
        <v>11</v>
      </c>
      <c r="Z410" s="109"/>
      <c r="AA410" s="27"/>
      <c r="AB410" s="221" t="s">
        <v>298</v>
      </c>
      <c r="AC410" s="1"/>
      <c r="AD410" s="134"/>
    </row>
    <row r="411" spans="1:30" s="22" customFormat="1" ht="15" customHeight="1">
      <c r="A411" s="245" t="s">
        <v>29</v>
      </c>
      <c r="B411" s="142"/>
      <c r="C411" s="142">
        <v>9</v>
      </c>
      <c r="D411" s="143"/>
      <c r="E411" s="144"/>
      <c r="F411" s="143">
        <v>11</v>
      </c>
      <c r="G411" s="143">
        <v>4</v>
      </c>
      <c r="H411" s="143">
        <v>9</v>
      </c>
      <c r="I411" s="143">
        <v>7</v>
      </c>
      <c r="J411" s="143">
        <v>7</v>
      </c>
      <c r="K411" s="143"/>
      <c r="L411" s="143">
        <v>13</v>
      </c>
      <c r="M411" s="142">
        <v>14</v>
      </c>
      <c r="N411" s="143">
        <v>1</v>
      </c>
      <c r="O411" s="143"/>
      <c r="P411" s="357">
        <v>15</v>
      </c>
      <c r="Q411" s="357"/>
      <c r="R411" s="357">
        <v>8</v>
      </c>
      <c r="S411" s="357">
        <v>7</v>
      </c>
      <c r="T411" s="166">
        <v>14</v>
      </c>
      <c r="U411" s="166">
        <v>14</v>
      </c>
      <c r="V411" s="357">
        <v>8</v>
      </c>
      <c r="W411" s="145">
        <v>6</v>
      </c>
      <c r="X411" s="145">
        <v>8</v>
      </c>
      <c r="Y411" s="142">
        <v>8</v>
      </c>
      <c r="Z411" s="146"/>
      <c r="AA411" s="27"/>
      <c r="AB411" s="246" t="s">
        <v>299</v>
      </c>
      <c r="AD411" s="132"/>
    </row>
    <row r="412" spans="1:30" s="22" customFormat="1" ht="15" customHeight="1">
      <c r="A412" s="7" t="s">
        <v>39</v>
      </c>
      <c r="B412" s="148"/>
      <c r="C412" s="29"/>
      <c r="D412" s="34">
        <v>11</v>
      </c>
      <c r="E412" s="36">
        <v>5</v>
      </c>
      <c r="F412" s="34"/>
      <c r="G412" s="34"/>
      <c r="H412" s="294"/>
      <c r="I412" s="34"/>
      <c r="J412" s="34"/>
      <c r="K412" s="34">
        <v>2</v>
      </c>
      <c r="L412" s="34"/>
      <c r="M412" s="29"/>
      <c r="N412" s="34"/>
      <c r="O412" s="34">
        <v>3</v>
      </c>
      <c r="P412" s="368"/>
      <c r="Q412" s="368">
        <v>6</v>
      </c>
      <c r="R412" s="358"/>
      <c r="S412" s="358"/>
      <c r="T412" s="92"/>
      <c r="U412" s="92"/>
      <c r="V412" s="368"/>
      <c r="W412" s="74"/>
      <c r="X412" s="74"/>
      <c r="Y412" s="29"/>
      <c r="Z412" s="146"/>
      <c r="AA412" s="27"/>
      <c r="AB412" s="221" t="s">
        <v>300</v>
      </c>
      <c r="AD412" s="134"/>
    </row>
    <row r="413" spans="1:30" s="22" customFormat="1" ht="15" customHeight="1">
      <c r="A413" s="9" t="s">
        <v>58</v>
      </c>
      <c r="B413" s="142"/>
      <c r="C413" s="28">
        <v>1</v>
      </c>
      <c r="D413" s="33"/>
      <c r="E413" s="37"/>
      <c r="F413" s="33"/>
      <c r="G413" s="33">
        <v>10</v>
      </c>
      <c r="H413" s="293"/>
      <c r="I413" s="33">
        <v>5</v>
      </c>
      <c r="J413" s="33"/>
      <c r="K413" s="33"/>
      <c r="L413" s="33"/>
      <c r="M413" s="28">
        <v>12</v>
      </c>
      <c r="N413" s="33"/>
      <c r="O413" s="33"/>
      <c r="P413" s="367"/>
      <c r="Q413" s="367">
        <v>1</v>
      </c>
      <c r="R413" s="360">
        <v>3</v>
      </c>
      <c r="S413" s="360"/>
      <c r="T413" s="90">
        <v>7</v>
      </c>
      <c r="U413" s="90">
        <v>11</v>
      </c>
      <c r="V413" s="367">
        <v>2</v>
      </c>
      <c r="W413" s="75"/>
      <c r="X413" s="75">
        <v>11</v>
      </c>
      <c r="Y413" s="28"/>
      <c r="Z413" s="146"/>
      <c r="AA413"/>
      <c r="AB413" s="221" t="s">
        <v>301</v>
      </c>
      <c r="AD413" s="134"/>
    </row>
    <row r="414" spans="1:30" s="22" customFormat="1" ht="15" customHeight="1">
      <c r="A414" s="247" t="s">
        <v>31</v>
      </c>
      <c r="B414" s="148"/>
      <c r="C414" s="148"/>
      <c r="D414" s="149">
        <v>10</v>
      </c>
      <c r="E414" s="150">
        <v>7</v>
      </c>
      <c r="F414" s="149">
        <v>9</v>
      </c>
      <c r="G414" s="149"/>
      <c r="H414" s="149">
        <v>13</v>
      </c>
      <c r="I414" s="149"/>
      <c r="J414" s="149">
        <v>4</v>
      </c>
      <c r="K414" s="149">
        <v>10</v>
      </c>
      <c r="L414" s="149">
        <v>3</v>
      </c>
      <c r="M414" s="148"/>
      <c r="N414" s="149">
        <v>2</v>
      </c>
      <c r="O414" s="149">
        <v>9</v>
      </c>
      <c r="P414" s="361">
        <v>9</v>
      </c>
      <c r="Q414" s="361"/>
      <c r="R414" s="361"/>
      <c r="S414" s="361">
        <v>4</v>
      </c>
      <c r="T414" s="164"/>
      <c r="U414" s="164"/>
      <c r="V414" s="361"/>
      <c r="W414" s="151">
        <v>7</v>
      </c>
      <c r="X414" s="151"/>
      <c r="Y414" s="148">
        <v>7</v>
      </c>
      <c r="Z414" s="146"/>
      <c r="AA414" s="27"/>
      <c r="AB414" s="246" t="s">
        <v>302</v>
      </c>
      <c r="AD414" s="27"/>
    </row>
    <row r="415" spans="1:30" s="22" customFormat="1" ht="15" customHeight="1">
      <c r="A415" s="9" t="s">
        <v>37</v>
      </c>
      <c r="B415" s="142"/>
      <c r="C415" s="28">
        <v>14</v>
      </c>
      <c r="D415" s="33"/>
      <c r="E415" s="37"/>
      <c r="F415" s="33">
        <v>13</v>
      </c>
      <c r="G415" s="33">
        <v>14</v>
      </c>
      <c r="H415" s="293">
        <v>14</v>
      </c>
      <c r="I415" s="33">
        <v>12</v>
      </c>
      <c r="J415" s="33">
        <v>8</v>
      </c>
      <c r="K415" s="33">
        <v>9</v>
      </c>
      <c r="L415" s="33">
        <v>12</v>
      </c>
      <c r="M415" s="28"/>
      <c r="N415" s="33">
        <v>13</v>
      </c>
      <c r="O415" s="33">
        <v>14</v>
      </c>
      <c r="P415" s="367">
        <v>10</v>
      </c>
      <c r="Q415" s="367">
        <v>11</v>
      </c>
      <c r="R415" s="360">
        <v>13</v>
      </c>
      <c r="S415" s="360">
        <v>13</v>
      </c>
      <c r="T415" s="90">
        <v>13</v>
      </c>
      <c r="U415" s="90">
        <v>8</v>
      </c>
      <c r="V415" s="367">
        <v>13</v>
      </c>
      <c r="W415" s="75">
        <v>9</v>
      </c>
      <c r="X415" s="75">
        <v>13</v>
      </c>
      <c r="Y415" s="28">
        <v>12</v>
      </c>
      <c r="Z415" s="146"/>
      <c r="AA415"/>
      <c r="AB415" s="221" t="s">
        <v>303</v>
      </c>
      <c r="AD415"/>
    </row>
    <row r="416" spans="1:30" s="22" customFormat="1" ht="15" customHeight="1">
      <c r="A416" s="247" t="s">
        <v>36</v>
      </c>
      <c r="B416" s="148"/>
      <c r="C416" s="148"/>
      <c r="D416" s="149">
        <v>9</v>
      </c>
      <c r="E416" s="150">
        <v>1</v>
      </c>
      <c r="F416" s="149"/>
      <c r="G416" s="149"/>
      <c r="H416" s="149"/>
      <c r="I416" s="149"/>
      <c r="J416" s="149"/>
      <c r="K416" s="149"/>
      <c r="L416" s="149"/>
      <c r="M416" s="148">
        <v>7</v>
      </c>
      <c r="N416" s="149"/>
      <c r="O416" s="149"/>
      <c r="P416" s="361"/>
      <c r="Q416" s="361"/>
      <c r="R416" s="361"/>
      <c r="S416" s="361"/>
      <c r="T416" s="164"/>
      <c r="U416" s="164"/>
      <c r="V416" s="361"/>
      <c r="W416" s="151"/>
      <c r="X416" s="151"/>
      <c r="Y416" s="148"/>
      <c r="Z416" s="146"/>
      <c r="AA416" s="27"/>
      <c r="AB416" s="246" t="s">
        <v>304</v>
      </c>
      <c r="AD416" s="27"/>
    </row>
    <row r="417" spans="1:33" s="22" customFormat="1" ht="15" customHeight="1">
      <c r="A417" s="245" t="s">
        <v>57</v>
      </c>
      <c r="B417" s="142"/>
      <c r="C417" s="142"/>
      <c r="D417" s="143"/>
      <c r="E417" s="144">
        <v>9</v>
      </c>
      <c r="F417" s="143"/>
      <c r="G417" s="143"/>
      <c r="H417" s="143"/>
      <c r="I417" s="143"/>
      <c r="J417" s="143"/>
      <c r="K417" s="143"/>
      <c r="L417" s="143"/>
      <c r="M417" s="142">
        <v>6</v>
      </c>
      <c r="N417" s="143"/>
      <c r="O417" s="143">
        <v>5</v>
      </c>
      <c r="P417" s="357"/>
      <c r="Q417" s="357">
        <v>3</v>
      </c>
      <c r="R417" s="357"/>
      <c r="S417" s="357"/>
      <c r="T417" s="166"/>
      <c r="U417" s="166"/>
      <c r="V417" s="357"/>
      <c r="W417" s="145"/>
      <c r="X417" s="145"/>
      <c r="Y417" s="142"/>
      <c r="Z417" s="146"/>
      <c r="AA417" s="27"/>
      <c r="AB417" s="246" t="s">
        <v>305</v>
      </c>
    </row>
    <row r="418" spans="1:33" s="22" customFormat="1" ht="15" customHeight="1">
      <c r="A418" s="7" t="s">
        <v>56</v>
      </c>
      <c r="B418" s="148"/>
      <c r="C418" s="29">
        <v>8</v>
      </c>
      <c r="D418" s="34">
        <v>8</v>
      </c>
      <c r="E418" s="36"/>
      <c r="F418" s="34">
        <v>8</v>
      </c>
      <c r="G418" s="34">
        <v>9</v>
      </c>
      <c r="H418" s="294">
        <v>7</v>
      </c>
      <c r="I418" s="34">
        <v>8</v>
      </c>
      <c r="J418" s="34">
        <v>5</v>
      </c>
      <c r="K418" s="34">
        <v>13</v>
      </c>
      <c r="L418" s="34">
        <v>7</v>
      </c>
      <c r="M418" s="29"/>
      <c r="N418" s="34">
        <v>6</v>
      </c>
      <c r="O418" s="34"/>
      <c r="P418" s="368">
        <v>11</v>
      </c>
      <c r="Q418" s="368"/>
      <c r="R418" s="358">
        <v>11</v>
      </c>
      <c r="S418" s="358">
        <v>10</v>
      </c>
      <c r="T418" s="92">
        <v>5</v>
      </c>
      <c r="U418" s="92">
        <v>7</v>
      </c>
      <c r="V418" s="368">
        <v>7</v>
      </c>
      <c r="W418" s="74">
        <v>13</v>
      </c>
      <c r="X418" s="74">
        <v>12</v>
      </c>
      <c r="Y418" s="29">
        <v>9</v>
      </c>
      <c r="Z418" s="146"/>
      <c r="AA418"/>
      <c r="AB418" s="221" t="s">
        <v>306</v>
      </c>
      <c r="AD418" s="1"/>
    </row>
    <row r="419" spans="1:33" s="22" customFormat="1" ht="15" customHeight="1">
      <c r="A419" s="9" t="s">
        <v>50</v>
      </c>
      <c r="B419" s="148"/>
      <c r="C419" s="29">
        <v>13</v>
      </c>
      <c r="D419" s="34"/>
      <c r="E419" s="36">
        <v>13</v>
      </c>
      <c r="F419" s="34">
        <v>10</v>
      </c>
      <c r="G419" s="34">
        <v>13</v>
      </c>
      <c r="H419" s="294">
        <v>8</v>
      </c>
      <c r="I419" s="34">
        <v>13</v>
      </c>
      <c r="J419" s="34">
        <v>11</v>
      </c>
      <c r="K419" s="34">
        <v>8</v>
      </c>
      <c r="L419" s="34">
        <v>11</v>
      </c>
      <c r="M419" s="29">
        <v>11</v>
      </c>
      <c r="N419" s="34">
        <v>11</v>
      </c>
      <c r="O419" s="34">
        <v>10</v>
      </c>
      <c r="P419" s="368">
        <v>8</v>
      </c>
      <c r="Q419" s="368">
        <v>12</v>
      </c>
      <c r="R419" s="358">
        <v>12</v>
      </c>
      <c r="S419" s="358">
        <v>12</v>
      </c>
      <c r="T419" s="92">
        <v>12</v>
      </c>
      <c r="U419" s="87">
        <v>13</v>
      </c>
      <c r="V419" s="368">
        <v>14</v>
      </c>
      <c r="W419" s="74">
        <v>11</v>
      </c>
      <c r="X419" s="74">
        <v>10</v>
      </c>
      <c r="Y419" s="29">
        <v>13</v>
      </c>
      <c r="AA419"/>
      <c r="AB419" s="218" t="s">
        <v>131</v>
      </c>
    </row>
    <row r="420" spans="1:33" s="22" customFormat="1" ht="15" customHeight="1">
      <c r="A420" s="247" t="s">
        <v>33</v>
      </c>
      <c r="B420" s="148"/>
      <c r="C420" s="148"/>
      <c r="D420" s="149">
        <v>7</v>
      </c>
      <c r="E420" s="150"/>
      <c r="F420" s="149"/>
      <c r="G420" s="149"/>
      <c r="H420" s="149"/>
      <c r="I420" s="149"/>
      <c r="J420" s="149"/>
      <c r="K420" s="149"/>
      <c r="L420" s="149"/>
      <c r="M420" s="148"/>
      <c r="N420" s="149"/>
      <c r="O420" s="149"/>
      <c r="P420" s="361"/>
      <c r="Q420" s="361"/>
      <c r="R420" s="361"/>
      <c r="S420" s="361"/>
      <c r="T420" s="164"/>
      <c r="U420" s="171"/>
      <c r="V420" s="361"/>
      <c r="W420" s="151"/>
      <c r="X420" s="151"/>
      <c r="Y420" s="148"/>
      <c r="Z420" s="152"/>
      <c r="AA420" s="27"/>
      <c r="AB420" s="246" t="s">
        <v>307</v>
      </c>
      <c r="AE420" s="132"/>
      <c r="AF420" s="132"/>
      <c r="AG420" s="132"/>
    </row>
    <row r="421" spans="1:33" s="22" customFormat="1" ht="15" customHeight="1">
      <c r="A421" s="9" t="s">
        <v>42</v>
      </c>
      <c r="B421" s="28"/>
      <c r="C421" s="28">
        <v>4</v>
      </c>
      <c r="D421" s="33"/>
      <c r="E421" s="37"/>
      <c r="F421" s="33">
        <v>7</v>
      </c>
      <c r="G421" s="33">
        <v>8</v>
      </c>
      <c r="H421" s="293">
        <v>5</v>
      </c>
      <c r="I421" s="33">
        <v>3</v>
      </c>
      <c r="J421" s="33">
        <v>10</v>
      </c>
      <c r="K421" s="33">
        <v>12</v>
      </c>
      <c r="L421" s="33">
        <v>6</v>
      </c>
      <c r="M421" s="28"/>
      <c r="N421" s="33">
        <v>9</v>
      </c>
      <c r="O421" s="33">
        <v>2</v>
      </c>
      <c r="P421" s="367">
        <v>12</v>
      </c>
      <c r="Q421" s="367">
        <v>10</v>
      </c>
      <c r="R421" s="360">
        <v>7</v>
      </c>
      <c r="S421" s="360">
        <v>8</v>
      </c>
      <c r="T421" s="90">
        <v>9</v>
      </c>
      <c r="U421" s="90">
        <v>3</v>
      </c>
      <c r="V421" s="367">
        <v>6</v>
      </c>
      <c r="W421" s="75"/>
      <c r="X421" s="75">
        <v>9</v>
      </c>
      <c r="Y421" s="28">
        <v>3</v>
      </c>
      <c r="Z421" s="140"/>
      <c r="AA421" s="1"/>
      <c r="AB421" s="218" t="s">
        <v>308</v>
      </c>
      <c r="AD421" s="1"/>
      <c r="AE421" s="134"/>
      <c r="AF421" s="134"/>
      <c r="AG421" s="134"/>
    </row>
    <row r="422" spans="1:33" s="22" customFormat="1" ht="15" customHeight="1">
      <c r="A422" s="247" t="s">
        <v>43</v>
      </c>
      <c r="B422" s="148"/>
      <c r="C422" s="148"/>
      <c r="D422" s="149">
        <v>6</v>
      </c>
      <c r="E422" s="150">
        <v>2</v>
      </c>
      <c r="F422" s="149"/>
      <c r="G422" s="149"/>
      <c r="H422" s="149"/>
      <c r="I422" s="149"/>
      <c r="J422" s="149"/>
      <c r="K422" s="149"/>
      <c r="L422" s="149"/>
      <c r="M422" s="148">
        <v>10</v>
      </c>
      <c r="N422" s="149"/>
      <c r="O422" s="149"/>
      <c r="P422" s="361"/>
      <c r="Q422" s="361"/>
      <c r="R422" s="361"/>
      <c r="S422" s="361"/>
      <c r="T422" s="164"/>
      <c r="U422" s="164"/>
      <c r="V422" s="361"/>
      <c r="W422" s="151">
        <v>4</v>
      </c>
      <c r="X422" s="151"/>
      <c r="Y422" s="148"/>
      <c r="Z422" s="152"/>
      <c r="AE422" s="132"/>
      <c r="AF422" s="132"/>
      <c r="AG422" s="132"/>
    </row>
    <row r="423" spans="1:33" s="22" customFormat="1" ht="15" customHeight="1">
      <c r="A423" s="245" t="s">
        <v>40</v>
      </c>
      <c r="B423" s="142"/>
      <c r="C423" s="142"/>
      <c r="D423" s="143"/>
      <c r="E423" s="144">
        <v>6</v>
      </c>
      <c r="F423" s="143">
        <v>1</v>
      </c>
      <c r="G423" s="143">
        <v>7</v>
      </c>
      <c r="H423" s="143">
        <v>2</v>
      </c>
      <c r="I423" s="143">
        <v>2</v>
      </c>
      <c r="J423" s="143"/>
      <c r="K423" s="143"/>
      <c r="L423" s="143"/>
      <c r="M423" s="142"/>
      <c r="N423" s="143"/>
      <c r="O423" s="143"/>
      <c r="P423" s="357">
        <v>7</v>
      </c>
      <c r="Q423" s="357">
        <v>2</v>
      </c>
      <c r="R423" s="357"/>
      <c r="S423" s="357"/>
      <c r="T423" s="166"/>
      <c r="U423" s="170">
        <v>2</v>
      </c>
      <c r="V423" s="357">
        <v>1</v>
      </c>
      <c r="W423" s="145">
        <v>3</v>
      </c>
      <c r="X423" s="145"/>
      <c r="Y423" s="142"/>
      <c r="Z423" s="284"/>
      <c r="AA423" s="132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>
        <v>3</v>
      </c>
      <c r="D424" s="34">
        <v>5</v>
      </c>
      <c r="E424" s="36"/>
      <c r="F424" s="34"/>
      <c r="G424" s="34"/>
      <c r="H424" s="294"/>
      <c r="I424" s="34"/>
      <c r="J424" s="34">
        <v>9</v>
      </c>
      <c r="K424" s="34">
        <v>3</v>
      </c>
      <c r="L424" s="34">
        <v>2</v>
      </c>
      <c r="M424" s="29">
        <v>13</v>
      </c>
      <c r="N424" s="34">
        <v>3</v>
      </c>
      <c r="O424" s="34">
        <v>7</v>
      </c>
      <c r="P424" s="368"/>
      <c r="Q424" s="368"/>
      <c r="R424" s="358">
        <v>5</v>
      </c>
      <c r="S424" s="358">
        <v>3</v>
      </c>
      <c r="T424" s="92">
        <v>6</v>
      </c>
      <c r="U424" s="88"/>
      <c r="V424" s="368"/>
      <c r="W424" s="74"/>
      <c r="X424" s="74">
        <v>5</v>
      </c>
      <c r="Y424" s="29">
        <v>6</v>
      </c>
      <c r="Z424" s="265"/>
      <c r="AA424" s="134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28">
        <v>11</v>
      </c>
      <c r="D425" s="33"/>
      <c r="E425" s="37">
        <v>11</v>
      </c>
      <c r="F425" s="33">
        <v>12</v>
      </c>
      <c r="G425" s="33">
        <v>12</v>
      </c>
      <c r="H425" s="293"/>
      <c r="I425" s="33">
        <v>14</v>
      </c>
      <c r="J425" s="33">
        <v>15</v>
      </c>
      <c r="K425" s="33">
        <v>7</v>
      </c>
      <c r="L425" s="33">
        <v>10</v>
      </c>
      <c r="M425" s="28">
        <v>5</v>
      </c>
      <c r="N425" s="33">
        <v>14</v>
      </c>
      <c r="O425" s="33">
        <v>13</v>
      </c>
      <c r="P425" s="367">
        <v>13</v>
      </c>
      <c r="Q425" s="367">
        <v>13</v>
      </c>
      <c r="R425" s="360">
        <v>14</v>
      </c>
      <c r="S425" s="360">
        <v>14</v>
      </c>
      <c r="T425" s="90">
        <v>8</v>
      </c>
      <c r="U425" s="90">
        <v>1</v>
      </c>
      <c r="V425" s="367">
        <v>12</v>
      </c>
      <c r="W425" s="75">
        <v>10</v>
      </c>
      <c r="X425" s="75">
        <v>14</v>
      </c>
      <c r="Y425" s="28">
        <v>14</v>
      </c>
      <c r="Z425" s="291"/>
      <c r="AA425" s="134"/>
      <c r="AD425" s="1"/>
      <c r="AE425" s="132"/>
      <c r="AF425" s="132"/>
      <c r="AG425" s="132"/>
    </row>
    <row r="426" spans="1:33" s="22" customFormat="1" ht="15" customHeight="1">
      <c r="A426" s="247" t="s">
        <v>47</v>
      </c>
      <c r="B426" s="148"/>
      <c r="C426" s="148"/>
      <c r="D426" s="149">
        <v>4</v>
      </c>
      <c r="E426" s="150"/>
      <c r="F426" s="149"/>
      <c r="G426" s="149"/>
      <c r="H426" s="149">
        <v>3</v>
      </c>
      <c r="I426" s="149"/>
      <c r="J426" s="149"/>
      <c r="K426" s="149"/>
      <c r="L426" s="149"/>
      <c r="M426" s="148"/>
      <c r="N426" s="149"/>
      <c r="O426" s="149"/>
      <c r="P426" s="361"/>
      <c r="Q426" s="361"/>
      <c r="R426" s="361"/>
      <c r="S426" s="361"/>
      <c r="T426" s="164"/>
      <c r="U426" s="164"/>
      <c r="V426" s="361"/>
      <c r="W426" s="151"/>
      <c r="X426" s="151"/>
      <c r="Y426" s="148"/>
      <c r="Z426" s="284"/>
      <c r="AA426" s="132"/>
      <c r="AE426" s="132"/>
      <c r="AF426" s="132"/>
      <c r="AG426" s="132"/>
    </row>
    <row r="427" spans="1:33" s="22" customFormat="1" ht="15" customHeight="1">
      <c r="A427" s="245" t="s">
        <v>30</v>
      </c>
      <c r="B427" s="148"/>
      <c r="C427" s="148">
        <v>6</v>
      </c>
      <c r="D427" s="149"/>
      <c r="E427" s="150">
        <v>12</v>
      </c>
      <c r="F427" s="149"/>
      <c r="G427" s="149"/>
      <c r="H427" s="149">
        <v>4</v>
      </c>
      <c r="I427" s="149">
        <v>10</v>
      </c>
      <c r="J427" s="149">
        <v>14</v>
      </c>
      <c r="K427" s="149">
        <v>4</v>
      </c>
      <c r="L427" s="149">
        <v>4</v>
      </c>
      <c r="M427" s="148">
        <v>4</v>
      </c>
      <c r="N427" s="149">
        <v>4</v>
      </c>
      <c r="O427" s="149">
        <v>12</v>
      </c>
      <c r="P427" s="361"/>
      <c r="Q427" s="361">
        <v>9</v>
      </c>
      <c r="R427" s="361">
        <v>9</v>
      </c>
      <c r="S427" s="361">
        <v>9</v>
      </c>
      <c r="T427" s="164">
        <v>2</v>
      </c>
      <c r="U427" s="166">
        <v>10</v>
      </c>
      <c r="V427" s="361">
        <v>11</v>
      </c>
      <c r="W427" s="151"/>
      <c r="X427" s="151"/>
      <c r="Y427" s="148">
        <v>10</v>
      </c>
      <c r="Z427" s="284"/>
      <c r="AA427" s="132"/>
      <c r="AE427" s="132"/>
      <c r="AF427" s="132"/>
      <c r="AG427" s="132"/>
    </row>
    <row r="428" spans="1:33" s="22" customFormat="1" ht="15" customHeight="1">
      <c r="A428" s="14" t="s">
        <v>38</v>
      </c>
      <c r="B428" s="148"/>
      <c r="C428" s="29"/>
      <c r="D428" s="34">
        <v>3</v>
      </c>
      <c r="E428" s="36"/>
      <c r="F428" s="34">
        <v>4</v>
      </c>
      <c r="G428" s="34">
        <v>5</v>
      </c>
      <c r="H428" s="294"/>
      <c r="I428" s="34"/>
      <c r="J428" s="34"/>
      <c r="K428" s="34"/>
      <c r="L428" s="34"/>
      <c r="M428" s="29"/>
      <c r="N428" s="34"/>
      <c r="O428" s="34"/>
      <c r="P428" s="368">
        <v>6</v>
      </c>
      <c r="Q428" s="368"/>
      <c r="R428" s="358"/>
      <c r="S428" s="358"/>
      <c r="T428" s="92"/>
      <c r="U428" s="92"/>
      <c r="V428" s="368"/>
      <c r="W428" s="74">
        <v>5</v>
      </c>
      <c r="X428" s="74">
        <v>4</v>
      </c>
      <c r="Y428" s="29"/>
      <c r="Z428" s="265"/>
      <c r="AA428" s="134"/>
      <c r="AD428" s="1"/>
      <c r="AE428" s="132"/>
      <c r="AF428" s="132"/>
      <c r="AG428" s="132"/>
    </row>
    <row r="429" spans="1:33" s="22" customFormat="1" ht="15" customHeight="1">
      <c r="A429" s="245" t="s">
        <v>55</v>
      </c>
      <c r="B429" s="143"/>
      <c r="C429" s="143">
        <v>2</v>
      </c>
      <c r="D429" s="143">
        <v>2</v>
      </c>
      <c r="E429" s="143">
        <v>4</v>
      </c>
      <c r="F429" s="143">
        <v>5</v>
      </c>
      <c r="G429" s="143"/>
      <c r="H429" s="143">
        <v>1</v>
      </c>
      <c r="I429" s="143"/>
      <c r="J429" s="143"/>
      <c r="K429" s="143">
        <v>5</v>
      </c>
      <c r="L429" s="143"/>
      <c r="M429" s="143">
        <v>3</v>
      </c>
      <c r="N429" s="143"/>
      <c r="O429" s="143">
        <v>1</v>
      </c>
      <c r="P429" s="357">
        <v>5</v>
      </c>
      <c r="Q429" s="357"/>
      <c r="R429" s="357">
        <v>1</v>
      </c>
      <c r="S429" s="357"/>
      <c r="T429" s="145">
        <v>1</v>
      </c>
      <c r="U429" s="145">
        <v>4</v>
      </c>
      <c r="V429" s="357">
        <v>5</v>
      </c>
      <c r="W429" s="145">
        <v>12</v>
      </c>
      <c r="X429" s="143"/>
      <c r="Y429" s="143"/>
      <c r="Z429" s="284"/>
      <c r="AA429" s="132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34"/>
      <c r="D430" s="34"/>
      <c r="E430" s="34"/>
      <c r="F430" s="34"/>
      <c r="G430" s="34">
        <v>6</v>
      </c>
      <c r="H430" s="294"/>
      <c r="I430" s="34">
        <v>6</v>
      </c>
      <c r="J430" s="34">
        <v>6</v>
      </c>
      <c r="K430" s="34"/>
      <c r="L430" s="34">
        <v>1</v>
      </c>
      <c r="M430" s="34"/>
      <c r="N430" s="34">
        <v>8</v>
      </c>
      <c r="O430" s="34"/>
      <c r="P430" s="368"/>
      <c r="Q430" s="368">
        <v>8</v>
      </c>
      <c r="R430" s="358"/>
      <c r="S430" s="358">
        <v>1</v>
      </c>
      <c r="T430" s="74"/>
      <c r="U430" s="74"/>
      <c r="V430" s="368"/>
      <c r="W430" s="74"/>
      <c r="X430" s="34">
        <v>3</v>
      </c>
      <c r="Y430" s="34">
        <v>2</v>
      </c>
      <c r="Z430" s="265"/>
      <c r="AA430" s="134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295"/>
      <c r="I431" s="57"/>
      <c r="J431" s="57"/>
      <c r="K431" s="57"/>
      <c r="L431" s="57"/>
      <c r="M431" s="57"/>
      <c r="N431" s="57"/>
      <c r="O431" s="57"/>
      <c r="P431" s="369"/>
      <c r="Q431" s="369"/>
      <c r="R431" s="359"/>
      <c r="S431" s="359"/>
      <c r="T431" s="359"/>
      <c r="U431" s="359"/>
      <c r="V431" s="369"/>
      <c r="W431" s="359"/>
      <c r="X431" s="63"/>
      <c r="Y431" s="57"/>
      <c r="Z431" s="265"/>
      <c r="AA431" s="134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>
        <v>12</v>
      </c>
      <c r="D432" s="33"/>
      <c r="E432" s="37"/>
      <c r="F432" s="33">
        <v>14</v>
      </c>
      <c r="G432" s="33">
        <v>11</v>
      </c>
      <c r="H432" s="293"/>
      <c r="I432" s="33">
        <v>9</v>
      </c>
      <c r="J432" s="33">
        <v>1</v>
      </c>
      <c r="K432" s="33">
        <v>6</v>
      </c>
      <c r="L432" s="33">
        <v>9</v>
      </c>
      <c r="M432" s="28"/>
      <c r="N432" s="33">
        <v>5</v>
      </c>
      <c r="O432" s="33">
        <v>11</v>
      </c>
      <c r="P432" s="367">
        <v>4</v>
      </c>
      <c r="Q432" s="367">
        <v>14</v>
      </c>
      <c r="R432" s="360">
        <v>6</v>
      </c>
      <c r="S432" s="360">
        <v>2</v>
      </c>
      <c r="T432" s="90">
        <v>11</v>
      </c>
      <c r="U432" s="90">
        <v>12</v>
      </c>
      <c r="V432" s="367">
        <v>9</v>
      </c>
      <c r="W432" s="75">
        <v>2</v>
      </c>
      <c r="X432" s="75"/>
      <c r="Y432" s="28">
        <v>1</v>
      </c>
      <c r="Z432" s="291"/>
      <c r="AA432" s="134"/>
      <c r="AE432" s="134"/>
      <c r="AF432" s="134"/>
      <c r="AG432" s="134"/>
    </row>
    <row r="433" spans="1:33" s="22" customFormat="1" ht="15" customHeight="1">
      <c r="A433" s="247" t="s">
        <v>59</v>
      </c>
      <c r="B433" s="148"/>
      <c r="C433" s="148"/>
      <c r="D433" s="149">
        <v>1</v>
      </c>
      <c r="E433" s="150">
        <v>3</v>
      </c>
      <c r="F433" s="149"/>
      <c r="G433" s="149"/>
      <c r="H433" s="149">
        <v>6</v>
      </c>
      <c r="I433" s="149"/>
      <c r="J433" s="149"/>
      <c r="K433" s="149"/>
      <c r="L433" s="149"/>
      <c r="M433" s="148">
        <v>1</v>
      </c>
      <c r="N433" s="149"/>
      <c r="O433" s="149"/>
      <c r="P433" s="150"/>
      <c r="Q433" s="150"/>
      <c r="R433" s="150"/>
      <c r="S433" s="150"/>
      <c r="T433" s="164"/>
      <c r="U433" s="164"/>
      <c r="V433" s="150"/>
      <c r="W433" s="151"/>
      <c r="X433" s="151">
        <v>1</v>
      </c>
      <c r="Y433" s="148"/>
      <c r="Z433" s="274"/>
      <c r="AA433" s="132"/>
      <c r="AE433" s="132"/>
      <c r="AF433" s="132"/>
      <c r="AG433" s="132"/>
    </row>
    <row r="434" spans="1:33" ht="15" customHeight="1" thickBo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65"/>
      <c r="AA434" s="134"/>
      <c r="AD434" s="22"/>
      <c r="AE434" s="134"/>
      <c r="AF434" s="134"/>
      <c r="AG434" s="134"/>
    </row>
    <row r="435" spans="1:33" ht="15" customHeight="1" thickBot="1">
      <c r="A435" s="16" t="s">
        <v>444</v>
      </c>
      <c r="B435" s="18"/>
      <c r="C435" s="11">
        <f>+C403+C406+C407+C410+C412+C413+C415+C418+C419+C421+C424+C425+C428+C430+C432</f>
        <v>98</v>
      </c>
      <c r="D435" s="11">
        <f t="shared" ref="D435:Y435" si="19">+D403+D406+D407+D410+D412+D413+D415+D418+D419+D421+D424+D425+D428+D430+D432</f>
        <v>68</v>
      </c>
      <c r="E435" s="158">
        <f t="shared" si="19"/>
        <v>66</v>
      </c>
      <c r="F435" s="11">
        <f t="shared" si="19"/>
        <v>85</v>
      </c>
      <c r="G435" s="157">
        <f t="shared" si="19"/>
        <v>109</v>
      </c>
      <c r="H435" s="11">
        <f t="shared" si="19"/>
        <v>72</v>
      </c>
      <c r="I435" s="11">
        <f t="shared" si="19"/>
        <v>97</v>
      </c>
      <c r="J435" s="11">
        <f t="shared" si="19"/>
        <v>90</v>
      </c>
      <c r="K435" s="11">
        <f t="shared" si="19"/>
        <v>87</v>
      </c>
      <c r="L435" s="11">
        <f t="shared" si="19"/>
        <v>95</v>
      </c>
      <c r="M435" s="11">
        <f t="shared" si="19"/>
        <v>75</v>
      </c>
      <c r="N435" s="11">
        <f t="shared" si="19"/>
        <v>106</v>
      </c>
      <c r="O435" s="11">
        <f t="shared" si="19"/>
        <v>87</v>
      </c>
      <c r="P435" s="11">
        <f t="shared" si="19"/>
        <v>82</v>
      </c>
      <c r="Q435" s="11">
        <f t="shared" si="19"/>
        <v>106</v>
      </c>
      <c r="R435" s="11">
        <f t="shared" si="19"/>
        <v>102</v>
      </c>
      <c r="S435" s="11">
        <f t="shared" si="19"/>
        <v>95</v>
      </c>
      <c r="T435" s="11">
        <f t="shared" si="19"/>
        <v>100</v>
      </c>
      <c r="U435" s="11">
        <f t="shared" si="19"/>
        <v>84</v>
      </c>
      <c r="V435" s="11">
        <f t="shared" si="19"/>
        <v>85</v>
      </c>
      <c r="W435" s="11">
        <f t="shared" si="19"/>
        <v>80</v>
      </c>
      <c r="X435" s="11">
        <f t="shared" si="19"/>
        <v>102</v>
      </c>
      <c r="Y435" s="11">
        <f t="shared" si="19"/>
        <v>90</v>
      </c>
      <c r="Z435" s="265"/>
      <c r="AA435" s="134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265"/>
      <c r="AA436" s="134"/>
      <c r="AD436" s="22"/>
    </row>
    <row r="437" spans="1:33" ht="15" customHeight="1">
      <c r="A437" s="13" t="s">
        <v>23</v>
      </c>
      <c r="B437" s="18"/>
      <c r="C437" s="78">
        <f>+C435+C398</f>
        <v>960</v>
      </c>
      <c r="D437" s="78">
        <f t="shared" ref="D437:Y437" si="20">+D435+D398</f>
        <v>793</v>
      </c>
      <c r="E437" s="78">
        <f t="shared" si="20"/>
        <v>781</v>
      </c>
      <c r="F437" s="78">
        <f t="shared" si="20"/>
        <v>925</v>
      </c>
      <c r="G437" s="78">
        <f t="shared" si="20"/>
        <v>863</v>
      </c>
      <c r="H437" s="78">
        <f t="shared" si="20"/>
        <v>861</v>
      </c>
      <c r="I437" s="78">
        <f t="shared" si="20"/>
        <v>925</v>
      </c>
      <c r="J437" s="78">
        <f t="shared" si="20"/>
        <v>881</v>
      </c>
      <c r="K437" s="78">
        <f t="shared" si="20"/>
        <v>880</v>
      </c>
      <c r="L437" s="78">
        <f t="shared" si="20"/>
        <v>941</v>
      </c>
      <c r="M437" s="78">
        <f t="shared" si="20"/>
        <v>778</v>
      </c>
      <c r="N437" s="78">
        <f t="shared" si="20"/>
        <v>932</v>
      </c>
      <c r="O437" s="78">
        <f t="shared" si="20"/>
        <v>890</v>
      </c>
      <c r="P437" s="78">
        <f t="shared" si="20"/>
        <v>917</v>
      </c>
      <c r="Q437" s="78">
        <f t="shared" si="20"/>
        <v>916</v>
      </c>
      <c r="R437" s="78">
        <f t="shared" si="20"/>
        <v>864</v>
      </c>
      <c r="S437" s="78">
        <f t="shared" si="20"/>
        <v>933</v>
      </c>
      <c r="T437" s="78">
        <f t="shared" si="20"/>
        <v>929</v>
      </c>
      <c r="U437" s="78">
        <f t="shared" si="20"/>
        <v>881</v>
      </c>
      <c r="V437" s="78">
        <f t="shared" si="20"/>
        <v>937</v>
      </c>
      <c r="W437" s="78">
        <f t="shared" si="20"/>
        <v>843</v>
      </c>
      <c r="X437" s="78">
        <f t="shared" si="20"/>
        <v>866</v>
      </c>
      <c r="Y437" s="78">
        <f t="shared" si="20"/>
        <v>926</v>
      </c>
      <c r="Z437" s="291"/>
      <c r="AA437" s="134"/>
      <c r="AD437" s="22"/>
    </row>
    <row r="438" spans="1:33" ht="15" customHeight="1">
      <c r="A438" s="13"/>
      <c r="B438" s="18"/>
      <c r="C438" s="78">
        <v>1</v>
      </c>
      <c r="D438" s="78"/>
      <c r="E438" s="78"/>
      <c r="F438" s="78"/>
      <c r="G438" s="78"/>
      <c r="H438" s="78"/>
      <c r="I438" s="78"/>
      <c r="J438" s="78"/>
      <c r="K438" s="78"/>
      <c r="L438" s="78">
        <v>2</v>
      </c>
      <c r="M438" s="78"/>
      <c r="N438" s="78"/>
      <c r="O438" s="78"/>
      <c r="P438" s="78"/>
      <c r="Q438" s="78"/>
      <c r="R438" s="78"/>
      <c r="S438" s="78"/>
      <c r="T438" s="78"/>
      <c r="U438" s="78"/>
      <c r="V438" s="78">
        <v>3</v>
      </c>
      <c r="W438" s="78"/>
      <c r="X438" s="78"/>
      <c r="Y438" s="78"/>
      <c r="Z438" s="291"/>
      <c r="AA438" s="134"/>
      <c r="AD438" s="22"/>
    </row>
    <row r="439" spans="1:33" ht="15" customHeight="1">
      <c r="A439" s="12"/>
      <c r="B439" s="18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AD439" s="22"/>
    </row>
    <row r="440" spans="1:33" ht="15" customHeight="1">
      <c r="A440" s="13" t="s">
        <v>10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ht="15" customHeight="1" thickBot="1">
      <c r="A441" s="20">
        <f>+A401+7</f>
        <v>45981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AD441" s="22"/>
    </row>
    <row r="442" spans="1:33" s="22" customFormat="1" ht="15" customHeight="1">
      <c r="A442" s="9" t="s">
        <v>34</v>
      </c>
      <c r="B442" s="144"/>
      <c r="C442" s="28">
        <v>9</v>
      </c>
      <c r="D442" s="33">
        <v>1</v>
      </c>
      <c r="E442" s="37">
        <v>13</v>
      </c>
      <c r="F442" s="33">
        <v>10</v>
      </c>
      <c r="G442" s="33">
        <v>10</v>
      </c>
      <c r="H442" s="33">
        <v>12</v>
      </c>
      <c r="I442" s="33">
        <v>13</v>
      </c>
      <c r="J442" s="33">
        <v>13</v>
      </c>
      <c r="K442" s="143"/>
      <c r="L442" s="33">
        <v>7</v>
      </c>
      <c r="M442" s="33">
        <v>8</v>
      </c>
      <c r="N442" s="37">
        <v>8</v>
      </c>
      <c r="O442" s="143"/>
      <c r="P442" s="396">
        <v>1</v>
      </c>
      <c r="Q442" s="396">
        <v>6</v>
      </c>
      <c r="R442" s="135">
        <v>9</v>
      </c>
      <c r="S442" s="135">
        <v>11</v>
      </c>
      <c r="T442" s="90">
        <v>13</v>
      </c>
      <c r="U442" s="90">
        <v>9</v>
      </c>
      <c r="V442" s="237">
        <v>10</v>
      </c>
      <c r="W442" s="75">
        <v>8</v>
      </c>
      <c r="X442" s="75">
        <v>2</v>
      </c>
      <c r="Y442" s="33">
        <v>10</v>
      </c>
      <c r="AA442" s="1"/>
      <c r="AB442" s="220" t="s">
        <v>10</v>
      </c>
    </row>
    <row r="443" spans="1:33" s="22" customFormat="1" ht="15" customHeight="1">
      <c r="A443" s="7" t="s">
        <v>50</v>
      </c>
      <c r="B443" s="36"/>
      <c r="C443" s="29"/>
      <c r="D443" s="34"/>
      <c r="E443" s="36"/>
      <c r="F443" s="34"/>
      <c r="G443" s="34"/>
      <c r="H443" s="34"/>
      <c r="I443" s="34"/>
      <c r="J443" s="34"/>
      <c r="K443" s="34">
        <v>1</v>
      </c>
      <c r="L443" s="34"/>
      <c r="M443" s="34"/>
      <c r="N443" s="36"/>
      <c r="O443" s="34"/>
      <c r="P443" s="397"/>
      <c r="Q443" s="397"/>
      <c r="R443" s="136"/>
      <c r="S443" s="136"/>
      <c r="T443" s="92"/>
      <c r="U443" s="92"/>
      <c r="V443" s="292"/>
      <c r="W443" s="74"/>
      <c r="X443" s="74"/>
      <c r="Y443" s="34"/>
      <c r="AA443" s="1"/>
      <c r="AB443" s="218" t="s">
        <v>132</v>
      </c>
      <c r="AD443"/>
    </row>
    <row r="444" spans="1:33" s="22" customFormat="1" ht="15" customHeight="1">
      <c r="A444" s="49">
        <f>+A441+3</f>
        <v>45984</v>
      </c>
      <c r="B444" s="93"/>
      <c r="C444" s="25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398"/>
      <c r="Q444" s="398"/>
      <c r="R444" s="138"/>
      <c r="S444" s="138"/>
      <c r="T444" s="137"/>
      <c r="U444" s="137"/>
      <c r="V444" s="137"/>
      <c r="W444" s="137"/>
      <c r="X444" s="63"/>
      <c r="Y444" s="93"/>
      <c r="AA444" s="1"/>
      <c r="AB444" s="221" t="s">
        <v>309</v>
      </c>
      <c r="AC444" s="132"/>
      <c r="AD444" s="134"/>
    </row>
    <row r="445" spans="1:33" s="22" customFormat="1" ht="15" customHeight="1">
      <c r="A445" s="9" t="s">
        <v>46</v>
      </c>
      <c r="B445" s="36"/>
      <c r="C445" s="29"/>
      <c r="D445" s="34"/>
      <c r="E445" s="36">
        <v>7</v>
      </c>
      <c r="F445" s="34"/>
      <c r="G445" s="34"/>
      <c r="H445" s="34"/>
      <c r="I445" s="34"/>
      <c r="J445" s="34"/>
      <c r="K445" s="34"/>
      <c r="L445" s="34"/>
      <c r="M445" s="34"/>
      <c r="N445" s="36"/>
      <c r="O445" s="34"/>
      <c r="P445" s="397"/>
      <c r="Q445" s="397"/>
      <c r="R445" s="136"/>
      <c r="S445" s="136"/>
      <c r="T445" s="74"/>
      <c r="U445" s="92"/>
      <c r="V445" s="292"/>
      <c r="W445" s="74"/>
      <c r="X445" s="74"/>
      <c r="Y445" s="34"/>
      <c r="AB445" s="218" t="s">
        <v>133</v>
      </c>
      <c r="AC445" s="132"/>
      <c r="AD445" s="27"/>
    </row>
    <row r="446" spans="1:33" s="22" customFormat="1" ht="15" customHeight="1">
      <c r="A446" s="14" t="s">
        <v>45</v>
      </c>
      <c r="B446" s="150"/>
      <c r="C446" s="29">
        <v>14</v>
      </c>
      <c r="D446" s="34">
        <v>11</v>
      </c>
      <c r="E446" s="36"/>
      <c r="F446" s="34">
        <v>12</v>
      </c>
      <c r="G446" s="33">
        <v>12</v>
      </c>
      <c r="H446" s="34">
        <v>14</v>
      </c>
      <c r="I446" s="34">
        <v>14</v>
      </c>
      <c r="J446" s="34">
        <v>14</v>
      </c>
      <c r="K446" s="149"/>
      <c r="L446" s="34">
        <v>14</v>
      </c>
      <c r="M446" s="34">
        <v>14</v>
      </c>
      <c r="N446" s="36">
        <v>9</v>
      </c>
      <c r="O446" s="149"/>
      <c r="P446" s="397">
        <v>10</v>
      </c>
      <c r="Q446" s="397">
        <v>14</v>
      </c>
      <c r="R446" s="136">
        <v>13</v>
      </c>
      <c r="S446" s="136">
        <v>14</v>
      </c>
      <c r="T446" s="90">
        <v>10</v>
      </c>
      <c r="U446" s="92">
        <v>8</v>
      </c>
      <c r="V446" s="292">
        <v>11</v>
      </c>
      <c r="W446" s="74">
        <v>13</v>
      </c>
      <c r="X446" s="74">
        <v>13</v>
      </c>
      <c r="Y446" s="34">
        <v>14</v>
      </c>
      <c r="AB446" s="221" t="s">
        <v>310</v>
      </c>
      <c r="AC446" s="134"/>
      <c r="AD446" s="27"/>
    </row>
    <row r="447" spans="1:33" s="22" customFormat="1" ht="15" customHeight="1">
      <c r="A447" s="9" t="s">
        <v>56</v>
      </c>
      <c r="B447" s="37"/>
      <c r="C447" s="28"/>
      <c r="D447" s="33">
        <v>2</v>
      </c>
      <c r="E447" s="37"/>
      <c r="F447" s="33"/>
      <c r="G447" s="34"/>
      <c r="H447" s="33"/>
      <c r="I447" s="33">
        <v>2</v>
      </c>
      <c r="J447" s="33">
        <v>1</v>
      </c>
      <c r="K447" s="33"/>
      <c r="L447" s="33"/>
      <c r="M447" s="33"/>
      <c r="N447" s="37"/>
      <c r="O447" s="33"/>
      <c r="P447" s="396"/>
      <c r="Q447" s="396">
        <v>5</v>
      </c>
      <c r="R447" s="135"/>
      <c r="S447" s="135"/>
      <c r="T447" s="92"/>
      <c r="U447" s="90"/>
      <c r="V447" s="237"/>
      <c r="W447" s="75"/>
      <c r="X447" s="75"/>
      <c r="Y447" s="33"/>
      <c r="Z447" s="109"/>
      <c r="AA447" s="1"/>
      <c r="AB447" s="221" t="s">
        <v>311</v>
      </c>
      <c r="AC447" s="132"/>
      <c r="AD447"/>
    </row>
    <row r="448" spans="1:33" s="22" customFormat="1" ht="15" customHeight="1">
      <c r="A448" s="7" t="s">
        <v>58</v>
      </c>
      <c r="B448" s="150"/>
      <c r="C448" s="29">
        <v>3</v>
      </c>
      <c r="D448" s="34"/>
      <c r="E448" s="36">
        <v>12</v>
      </c>
      <c r="F448" s="34">
        <v>4</v>
      </c>
      <c r="G448" s="33">
        <v>1</v>
      </c>
      <c r="H448" s="34">
        <v>3</v>
      </c>
      <c r="I448" s="34"/>
      <c r="J448" s="34"/>
      <c r="K448" s="149"/>
      <c r="L448" s="34">
        <v>6</v>
      </c>
      <c r="M448" s="34">
        <v>3</v>
      </c>
      <c r="N448" s="36">
        <v>2</v>
      </c>
      <c r="O448" s="149"/>
      <c r="P448" s="397">
        <v>8</v>
      </c>
      <c r="Q448" s="397"/>
      <c r="R448" s="136">
        <v>6</v>
      </c>
      <c r="S448" s="136">
        <v>5</v>
      </c>
      <c r="T448" s="90">
        <v>8</v>
      </c>
      <c r="U448" s="92">
        <v>2</v>
      </c>
      <c r="V448" s="292">
        <v>9</v>
      </c>
      <c r="W448" s="74">
        <v>4</v>
      </c>
      <c r="X448" s="74">
        <v>8</v>
      </c>
      <c r="Y448" s="34">
        <v>4</v>
      </c>
      <c r="Z448" s="146"/>
      <c r="AB448" s="221" t="s">
        <v>312</v>
      </c>
      <c r="AC448" s="134"/>
      <c r="AD448" s="27"/>
    </row>
    <row r="449" spans="1:33" s="22" customFormat="1" ht="15" customHeight="1">
      <c r="A449" s="9" t="s">
        <v>52</v>
      </c>
      <c r="B449" s="37"/>
      <c r="C449" s="28">
        <v>10</v>
      </c>
      <c r="D449" s="33"/>
      <c r="E449" s="37">
        <v>9</v>
      </c>
      <c r="F449" s="33">
        <v>9</v>
      </c>
      <c r="G449" s="33">
        <v>13</v>
      </c>
      <c r="H449" s="33">
        <v>10</v>
      </c>
      <c r="I449" s="33">
        <v>11</v>
      </c>
      <c r="J449" s="33">
        <v>12</v>
      </c>
      <c r="K449" s="33"/>
      <c r="L449" s="33">
        <v>11</v>
      </c>
      <c r="M449" s="33">
        <v>13</v>
      </c>
      <c r="N449" s="37">
        <v>11</v>
      </c>
      <c r="O449" s="33"/>
      <c r="P449" s="396">
        <v>11</v>
      </c>
      <c r="Q449" s="396">
        <v>13</v>
      </c>
      <c r="R449" s="135">
        <v>12</v>
      </c>
      <c r="S449" s="135">
        <v>12</v>
      </c>
      <c r="T449" s="90">
        <v>7</v>
      </c>
      <c r="U449" s="90">
        <v>14</v>
      </c>
      <c r="V449" s="237">
        <v>13</v>
      </c>
      <c r="W449" s="75">
        <v>7</v>
      </c>
      <c r="X449" s="75">
        <v>11</v>
      </c>
      <c r="Y449" s="33">
        <v>13</v>
      </c>
      <c r="Z449" s="109"/>
      <c r="AA449" s="109"/>
      <c r="AB449" s="221" t="s">
        <v>313</v>
      </c>
      <c r="AC449" s="134"/>
      <c r="AD449" s="134"/>
    </row>
    <row r="450" spans="1:33" s="22" customFormat="1" ht="15" customHeight="1">
      <c r="A450" s="7" t="s">
        <v>57</v>
      </c>
      <c r="B450" s="150"/>
      <c r="C450" s="29"/>
      <c r="D450" s="34">
        <v>9</v>
      </c>
      <c r="E450" s="36"/>
      <c r="F450" s="34"/>
      <c r="G450" s="34"/>
      <c r="H450" s="34"/>
      <c r="I450" s="34"/>
      <c r="J450" s="34"/>
      <c r="K450" s="149"/>
      <c r="L450" s="34"/>
      <c r="M450" s="34"/>
      <c r="N450" s="36"/>
      <c r="O450" s="149"/>
      <c r="P450" s="397"/>
      <c r="Q450" s="397"/>
      <c r="R450" s="136"/>
      <c r="S450" s="136"/>
      <c r="T450" s="92"/>
      <c r="U450" s="92"/>
      <c r="V450" s="292"/>
      <c r="W450" s="74"/>
      <c r="X450" s="74"/>
      <c r="Y450" s="34"/>
      <c r="Z450" s="146"/>
      <c r="AA450" s="109"/>
      <c r="AB450" s="221" t="s">
        <v>314</v>
      </c>
      <c r="AC450" s="132"/>
      <c r="AD450" s="134"/>
    </row>
    <row r="451" spans="1:33" s="22" customFormat="1" ht="15" customHeight="1">
      <c r="A451" s="9" t="s">
        <v>36</v>
      </c>
      <c r="B451" s="37"/>
      <c r="C451" s="28"/>
      <c r="D451" s="33">
        <v>10</v>
      </c>
      <c r="E451" s="37"/>
      <c r="F451" s="33"/>
      <c r="G451" s="82"/>
      <c r="H451" s="33"/>
      <c r="I451" s="33"/>
      <c r="J451" s="33"/>
      <c r="K451" s="33"/>
      <c r="L451" s="33"/>
      <c r="M451" s="33"/>
      <c r="N451" s="37"/>
      <c r="O451" s="33"/>
      <c r="P451" s="396"/>
      <c r="Q451" s="396"/>
      <c r="R451" s="135"/>
      <c r="S451" s="135"/>
      <c r="T451" s="120"/>
      <c r="U451" s="90"/>
      <c r="V451" s="237"/>
      <c r="W451" s="75"/>
      <c r="X451" s="75"/>
      <c r="Y451" s="33"/>
      <c r="Z451" s="109"/>
      <c r="AA451" s="146"/>
      <c r="AB451" s="221" t="s">
        <v>315</v>
      </c>
      <c r="AC451" s="134"/>
      <c r="AD451" s="132"/>
    </row>
    <row r="452" spans="1:33" s="22" customFormat="1" ht="15" customHeight="1">
      <c r="A452" s="7" t="s">
        <v>55</v>
      </c>
      <c r="B452" s="150"/>
      <c r="C452" s="29">
        <v>13</v>
      </c>
      <c r="D452" s="34"/>
      <c r="E452" s="36">
        <v>11</v>
      </c>
      <c r="F452" s="34">
        <v>13</v>
      </c>
      <c r="G452" s="33">
        <v>14</v>
      </c>
      <c r="H452" s="34">
        <v>11</v>
      </c>
      <c r="I452" s="34">
        <v>12</v>
      </c>
      <c r="J452" s="34">
        <v>11</v>
      </c>
      <c r="K452" s="149"/>
      <c r="L452" s="34">
        <v>12</v>
      </c>
      <c r="M452" s="34">
        <v>12</v>
      </c>
      <c r="N452" s="36">
        <v>13</v>
      </c>
      <c r="O452" s="149"/>
      <c r="P452" s="397">
        <v>14</v>
      </c>
      <c r="Q452" s="397">
        <v>12</v>
      </c>
      <c r="R452" s="136">
        <v>11</v>
      </c>
      <c r="S452" s="136">
        <v>13</v>
      </c>
      <c r="T452" s="90">
        <v>14</v>
      </c>
      <c r="U452" s="92">
        <v>7</v>
      </c>
      <c r="V452" s="292">
        <v>12</v>
      </c>
      <c r="W452" s="74">
        <v>14</v>
      </c>
      <c r="X452" s="74">
        <v>12</v>
      </c>
      <c r="Y452" s="34">
        <v>11</v>
      </c>
      <c r="Z452" s="146"/>
      <c r="AA452" s="146"/>
      <c r="AB452" s="221" t="s">
        <v>316</v>
      </c>
      <c r="AC452" s="132"/>
      <c r="AD452" s="134"/>
    </row>
    <row r="453" spans="1:33" s="22" customFormat="1" ht="15" customHeight="1">
      <c r="A453" s="9" t="s">
        <v>31</v>
      </c>
      <c r="B453" s="144"/>
      <c r="C453" s="28"/>
      <c r="D453" s="33"/>
      <c r="E453" s="37">
        <v>4</v>
      </c>
      <c r="F453" s="33"/>
      <c r="G453" s="34"/>
      <c r="H453" s="33">
        <v>7</v>
      </c>
      <c r="I453" s="33"/>
      <c r="J453" s="33">
        <v>2</v>
      </c>
      <c r="K453" s="143"/>
      <c r="L453" s="33"/>
      <c r="M453" s="33"/>
      <c r="N453" s="37"/>
      <c r="O453" s="143"/>
      <c r="P453" s="396"/>
      <c r="Q453" s="396"/>
      <c r="R453" s="135"/>
      <c r="S453" s="135"/>
      <c r="T453" s="92"/>
      <c r="U453" s="90"/>
      <c r="V453" s="237"/>
      <c r="W453" s="75"/>
      <c r="X453" s="75"/>
      <c r="Y453" s="33"/>
      <c r="Z453" s="146"/>
      <c r="AA453" s="109"/>
      <c r="AB453" s="221" t="s">
        <v>317</v>
      </c>
      <c r="AC453" s="134"/>
      <c r="AD453"/>
    </row>
    <row r="454" spans="1:33" s="22" customFormat="1" ht="15" customHeight="1">
      <c r="A454" s="7" t="s">
        <v>37</v>
      </c>
      <c r="B454" s="36"/>
      <c r="C454" s="29">
        <v>11</v>
      </c>
      <c r="D454" s="34">
        <v>3</v>
      </c>
      <c r="E454" s="36"/>
      <c r="F454" s="34">
        <v>8</v>
      </c>
      <c r="G454" s="33">
        <v>2</v>
      </c>
      <c r="H454" s="34"/>
      <c r="I454" s="34">
        <v>9</v>
      </c>
      <c r="J454" s="34"/>
      <c r="K454" s="34"/>
      <c r="L454" s="34">
        <v>9</v>
      </c>
      <c r="M454" s="34">
        <v>11</v>
      </c>
      <c r="N454" s="36">
        <v>10</v>
      </c>
      <c r="O454" s="34"/>
      <c r="P454" s="397">
        <v>9</v>
      </c>
      <c r="Q454" s="397">
        <v>9</v>
      </c>
      <c r="R454" s="136">
        <v>10</v>
      </c>
      <c r="S454" s="136">
        <v>9</v>
      </c>
      <c r="T454" s="90">
        <v>6</v>
      </c>
      <c r="U454" s="92">
        <v>6</v>
      </c>
      <c r="V454" s="292">
        <v>5</v>
      </c>
      <c r="W454" s="74">
        <v>11</v>
      </c>
      <c r="X454" s="74">
        <v>10</v>
      </c>
      <c r="Y454" s="34">
        <v>9</v>
      </c>
      <c r="Z454" s="109"/>
      <c r="AA454" s="109"/>
      <c r="AB454" s="221" t="s">
        <v>318</v>
      </c>
      <c r="AC454" s="134"/>
      <c r="AD454" s="27"/>
    </row>
    <row r="455" spans="1:33" s="22" customFormat="1" ht="15" customHeight="1">
      <c r="A455" s="9" t="s">
        <v>49</v>
      </c>
      <c r="B455" s="37"/>
      <c r="C455" s="28"/>
      <c r="D455" s="33"/>
      <c r="E455" s="37">
        <v>6</v>
      </c>
      <c r="F455" s="33">
        <v>1</v>
      </c>
      <c r="G455" s="34">
        <v>3</v>
      </c>
      <c r="H455" s="33">
        <v>8</v>
      </c>
      <c r="I455" s="33"/>
      <c r="J455" s="33"/>
      <c r="K455" s="33"/>
      <c r="L455" s="33"/>
      <c r="M455" s="33"/>
      <c r="N455" s="37"/>
      <c r="O455" s="33"/>
      <c r="P455" s="396">
        <v>6</v>
      </c>
      <c r="Q455" s="396">
        <v>4</v>
      </c>
      <c r="R455" s="135">
        <v>4</v>
      </c>
      <c r="S455" s="135"/>
      <c r="T455" s="92"/>
      <c r="U455" s="90">
        <v>12</v>
      </c>
      <c r="V455" s="237"/>
      <c r="W455" s="75">
        <v>3</v>
      </c>
      <c r="X455" s="75"/>
      <c r="Y455" s="33"/>
      <c r="Z455" s="109"/>
      <c r="AA455" s="146"/>
      <c r="AB455" s="221" t="s">
        <v>319</v>
      </c>
      <c r="AC455" s="132"/>
      <c r="AD455"/>
    </row>
    <row r="456" spans="1:33" s="22" customFormat="1" ht="15" customHeight="1">
      <c r="A456" s="7" t="s">
        <v>30</v>
      </c>
      <c r="B456" s="150"/>
      <c r="C456" s="29">
        <v>6</v>
      </c>
      <c r="D456" s="34">
        <v>12</v>
      </c>
      <c r="E456" s="36"/>
      <c r="F456" s="34"/>
      <c r="G456" s="33"/>
      <c r="H456" s="34"/>
      <c r="I456" s="34">
        <v>4</v>
      </c>
      <c r="J456" s="34">
        <v>10</v>
      </c>
      <c r="K456" s="149"/>
      <c r="L456" s="34">
        <v>5</v>
      </c>
      <c r="M456" s="34">
        <v>4</v>
      </c>
      <c r="N456" s="36">
        <v>5</v>
      </c>
      <c r="O456" s="149"/>
      <c r="P456" s="397"/>
      <c r="Q456" s="397"/>
      <c r="R456" s="136"/>
      <c r="S456" s="136">
        <v>4</v>
      </c>
      <c r="T456" s="90">
        <v>2</v>
      </c>
      <c r="U456" s="92"/>
      <c r="V456" s="292">
        <v>1</v>
      </c>
      <c r="W456" s="74"/>
      <c r="X456" s="74">
        <v>7</v>
      </c>
      <c r="Y456" s="34">
        <v>5</v>
      </c>
      <c r="Z456" s="146"/>
      <c r="AA456" s="146"/>
      <c r="AB456" s="221" t="s">
        <v>320</v>
      </c>
      <c r="AC456" s="134"/>
      <c r="AD456"/>
    </row>
    <row r="457" spans="1:33" s="22" customFormat="1" ht="15" customHeight="1">
      <c r="A457" s="9" t="s">
        <v>40</v>
      </c>
      <c r="B457" s="37"/>
      <c r="C457" s="28">
        <v>12</v>
      </c>
      <c r="D457" s="33"/>
      <c r="E457" s="37">
        <v>14</v>
      </c>
      <c r="F457" s="33">
        <v>14</v>
      </c>
      <c r="G457" s="34">
        <v>11</v>
      </c>
      <c r="H457" s="33">
        <v>13</v>
      </c>
      <c r="I457" s="33">
        <v>10</v>
      </c>
      <c r="J457" s="33">
        <v>9</v>
      </c>
      <c r="K457" s="33"/>
      <c r="L457" s="33">
        <v>13</v>
      </c>
      <c r="M457" s="33">
        <v>9</v>
      </c>
      <c r="N457" s="37">
        <v>14</v>
      </c>
      <c r="O457" s="33"/>
      <c r="P457" s="396">
        <v>13</v>
      </c>
      <c r="Q457" s="396">
        <v>11</v>
      </c>
      <c r="R457" s="135">
        <v>14</v>
      </c>
      <c r="S457" s="135">
        <v>10</v>
      </c>
      <c r="T457" s="92">
        <v>11</v>
      </c>
      <c r="U457" s="90">
        <v>13</v>
      </c>
      <c r="V457" s="237">
        <v>14</v>
      </c>
      <c r="W457" s="75">
        <v>12</v>
      </c>
      <c r="X457" s="75">
        <v>14</v>
      </c>
      <c r="Y457" s="33">
        <v>12</v>
      </c>
      <c r="Z457" s="109"/>
      <c r="AA457" s="109"/>
      <c r="AB457" s="221" t="s">
        <v>321</v>
      </c>
      <c r="AC457" s="134"/>
    </row>
    <row r="458" spans="1:33" s="22" customFormat="1" ht="15" customHeight="1">
      <c r="A458" s="7" t="s">
        <v>33</v>
      </c>
      <c r="B458" s="150"/>
      <c r="C458" s="29"/>
      <c r="D458" s="34">
        <v>13</v>
      </c>
      <c r="E458" s="36"/>
      <c r="F458" s="34"/>
      <c r="G458" s="34"/>
      <c r="H458" s="34"/>
      <c r="I458" s="34"/>
      <c r="J458" s="34"/>
      <c r="K458" s="149"/>
      <c r="L458" s="34"/>
      <c r="M458" s="34"/>
      <c r="N458" s="36"/>
      <c r="O458" s="149"/>
      <c r="P458" s="397"/>
      <c r="Q458" s="397"/>
      <c r="R458" s="136"/>
      <c r="S458" s="136"/>
      <c r="T458" s="92"/>
      <c r="U458" s="92"/>
      <c r="V458" s="292"/>
      <c r="W458" s="74"/>
      <c r="X458" s="74"/>
      <c r="Y458" s="34"/>
      <c r="Z458" s="146"/>
      <c r="AA458" s="146"/>
      <c r="AB458" s="218" t="s">
        <v>134</v>
      </c>
    </row>
    <row r="459" spans="1:33" s="22" customFormat="1" ht="15" customHeight="1">
      <c r="A459" s="9" t="s">
        <v>39</v>
      </c>
      <c r="B459" s="37"/>
      <c r="C459" s="28">
        <v>2</v>
      </c>
      <c r="D459" s="33">
        <v>8</v>
      </c>
      <c r="E459" s="37"/>
      <c r="F459" s="33">
        <v>5</v>
      </c>
      <c r="G459" s="34">
        <v>4</v>
      </c>
      <c r="H459" s="33">
        <v>4</v>
      </c>
      <c r="I459" s="33">
        <v>3</v>
      </c>
      <c r="J459" s="33"/>
      <c r="K459" s="33"/>
      <c r="L459" s="33"/>
      <c r="M459" s="33">
        <v>7</v>
      </c>
      <c r="N459" s="37">
        <v>1</v>
      </c>
      <c r="O459" s="33"/>
      <c r="P459" s="396">
        <v>5</v>
      </c>
      <c r="Q459" s="396">
        <v>8</v>
      </c>
      <c r="R459" s="135">
        <v>7</v>
      </c>
      <c r="S459" s="135">
        <v>6</v>
      </c>
      <c r="T459" s="92">
        <v>12</v>
      </c>
      <c r="U459" s="90">
        <v>10</v>
      </c>
      <c r="V459" s="237">
        <v>7</v>
      </c>
      <c r="W459" s="75">
        <v>2</v>
      </c>
      <c r="X459" s="75">
        <v>4</v>
      </c>
      <c r="Y459" s="33">
        <v>6</v>
      </c>
      <c r="Z459" s="109"/>
      <c r="AA459" s="109"/>
      <c r="AB459" s="221" t="s">
        <v>322</v>
      </c>
      <c r="AC459" s="1"/>
      <c r="AD459" s="1"/>
    </row>
    <row r="460" spans="1:33" s="22" customFormat="1" ht="15" customHeight="1">
      <c r="A460" s="7" t="s">
        <v>43</v>
      </c>
      <c r="B460" s="150"/>
      <c r="C460" s="29"/>
      <c r="D460" s="34"/>
      <c r="E460" s="36">
        <v>10</v>
      </c>
      <c r="F460" s="34"/>
      <c r="G460" s="33"/>
      <c r="H460" s="34"/>
      <c r="I460" s="34"/>
      <c r="J460" s="34">
        <v>7</v>
      </c>
      <c r="K460" s="149"/>
      <c r="L460" s="34">
        <v>2</v>
      </c>
      <c r="M460" s="34"/>
      <c r="N460" s="36"/>
      <c r="O460" s="149"/>
      <c r="P460" s="397"/>
      <c r="Q460" s="397"/>
      <c r="R460" s="136"/>
      <c r="S460" s="136"/>
      <c r="T460" s="90"/>
      <c r="U460" s="92"/>
      <c r="V460" s="292"/>
      <c r="W460" s="74"/>
      <c r="X460" s="74"/>
      <c r="Y460" s="34"/>
      <c r="AA460" s="109"/>
      <c r="AB460" s="218" t="s">
        <v>323</v>
      </c>
    </row>
    <row r="461" spans="1:33" s="22" customFormat="1" ht="15" customHeight="1">
      <c r="A461" s="9" t="s">
        <v>47</v>
      </c>
      <c r="B461" s="144"/>
      <c r="C461" s="28">
        <v>1</v>
      </c>
      <c r="D461" s="33"/>
      <c r="E461" s="37">
        <v>1</v>
      </c>
      <c r="F461" s="33"/>
      <c r="G461" s="34">
        <v>9</v>
      </c>
      <c r="H461" s="33"/>
      <c r="I461" s="33"/>
      <c r="J461" s="33"/>
      <c r="K461" s="143"/>
      <c r="L461" s="33">
        <v>1</v>
      </c>
      <c r="M461" s="33"/>
      <c r="N461" s="37"/>
      <c r="O461" s="143"/>
      <c r="P461" s="396"/>
      <c r="Q461" s="396">
        <v>3</v>
      </c>
      <c r="R461" s="135">
        <v>1</v>
      </c>
      <c r="S461" s="135"/>
      <c r="T461" s="92"/>
      <c r="U461" s="90">
        <v>1</v>
      </c>
      <c r="V461" s="237">
        <v>3</v>
      </c>
      <c r="W461" s="75"/>
      <c r="X461" s="75">
        <v>5</v>
      </c>
      <c r="Y461" s="33"/>
      <c r="Z461" s="152"/>
      <c r="AE461" s="132"/>
      <c r="AF461" s="132"/>
      <c r="AG461" s="132"/>
    </row>
    <row r="462" spans="1:33" s="22" customFormat="1" ht="15" customHeight="1">
      <c r="A462" s="7" t="s">
        <v>59</v>
      </c>
      <c r="B462" s="36"/>
      <c r="C462" s="29"/>
      <c r="D462" s="34">
        <v>7</v>
      </c>
      <c r="E462" s="36"/>
      <c r="F462" s="34">
        <v>6</v>
      </c>
      <c r="G462" s="33"/>
      <c r="H462" s="34">
        <v>5</v>
      </c>
      <c r="I462" s="34">
        <v>7</v>
      </c>
      <c r="J462" s="34">
        <v>4</v>
      </c>
      <c r="K462" s="34"/>
      <c r="L462" s="34"/>
      <c r="M462" s="34">
        <v>2</v>
      </c>
      <c r="N462" s="36">
        <v>6</v>
      </c>
      <c r="O462" s="34"/>
      <c r="P462" s="397">
        <v>4</v>
      </c>
      <c r="Q462" s="397"/>
      <c r="R462" s="136"/>
      <c r="S462" s="136">
        <v>2</v>
      </c>
      <c r="T462" s="90">
        <v>5</v>
      </c>
      <c r="U462" s="92"/>
      <c r="V462" s="292"/>
      <c r="W462" s="74">
        <v>6</v>
      </c>
      <c r="X462" s="74"/>
      <c r="Y462" s="34">
        <v>3</v>
      </c>
      <c r="Z462" s="291"/>
      <c r="AA462" s="134"/>
      <c r="AE462" s="134"/>
      <c r="AF462" s="134"/>
      <c r="AG462" s="134"/>
    </row>
    <row r="463" spans="1:33" s="22" customFormat="1" ht="15" customHeight="1">
      <c r="A463" s="9" t="s">
        <v>32</v>
      </c>
      <c r="B463" s="144"/>
      <c r="C463" s="28">
        <v>5</v>
      </c>
      <c r="D463" s="33">
        <v>6</v>
      </c>
      <c r="E463" s="37"/>
      <c r="F463" s="33">
        <v>3</v>
      </c>
      <c r="G463" s="34">
        <v>5</v>
      </c>
      <c r="H463" s="33">
        <v>1</v>
      </c>
      <c r="I463" s="33"/>
      <c r="J463" s="33">
        <v>8</v>
      </c>
      <c r="K463" s="143"/>
      <c r="L463" s="33">
        <v>4</v>
      </c>
      <c r="M463" s="33">
        <v>6</v>
      </c>
      <c r="N463" s="37">
        <v>4</v>
      </c>
      <c r="O463" s="143"/>
      <c r="P463" s="396">
        <v>3</v>
      </c>
      <c r="Q463" s="396"/>
      <c r="R463" s="135"/>
      <c r="S463" s="135"/>
      <c r="T463" s="92">
        <v>9</v>
      </c>
      <c r="U463" s="90">
        <v>11</v>
      </c>
      <c r="V463" s="237">
        <v>8</v>
      </c>
      <c r="W463" s="75">
        <v>5</v>
      </c>
      <c r="X463" s="75">
        <v>6</v>
      </c>
      <c r="Y463" s="33">
        <v>2</v>
      </c>
      <c r="Z463" s="265"/>
      <c r="AA463" s="134"/>
      <c r="AE463" s="132"/>
      <c r="AF463" s="132"/>
      <c r="AG463" s="132"/>
    </row>
    <row r="464" spans="1:33" s="22" customFormat="1" ht="15" customHeight="1">
      <c r="A464" s="7" t="s">
        <v>60</v>
      </c>
      <c r="B464" s="36"/>
      <c r="C464" s="29"/>
      <c r="D464" s="34"/>
      <c r="E464" s="36">
        <v>2</v>
      </c>
      <c r="F464" s="34"/>
      <c r="G464" s="33"/>
      <c r="H464" s="34"/>
      <c r="I464" s="34">
        <v>1</v>
      </c>
      <c r="J464" s="34"/>
      <c r="K464" s="34"/>
      <c r="L464" s="34"/>
      <c r="M464" s="34"/>
      <c r="N464" s="36"/>
      <c r="O464" s="34"/>
      <c r="P464" s="397"/>
      <c r="Q464" s="397">
        <v>2</v>
      </c>
      <c r="R464" s="136">
        <v>2</v>
      </c>
      <c r="S464" s="136">
        <v>3</v>
      </c>
      <c r="T464" s="90"/>
      <c r="U464" s="92"/>
      <c r="V464" s="292"/>
      <c r="W464" s="74"/>
      <c r="X464" s="74"/>
      <c r="Y464" s="34"/>
      <c r="Z464" s="291"/>
      <c r="AA464" s="134"/>
      <c r="AE464" s="134"/>
      <c r="AF464" s="134"/>
      <c r="AG464" s="134"/>
    </row>
    <row r="465" spans="1:33" s="22" customFormat="1" ht="15" customHeight="1">
      <c r="A465" s="9" t="s">
        <v>54</v>
      </c>
      <c r="B465" s="37"/>
      <c r="C465" s="28">
        <v>4</v>
      </c>
      <c r="D465" s="33">
        <v>5</v>
      </c>
      <c r="E465" s="37">
        <v>8</v>
      </c>
      <c r="F465" s="33"/>
      <c r="G465" s="34"/>
      <c r="H465" s="33"/>
      <c r="I465" s="33"/>
      <c r="J465" s="33"/>
      <c r="K465" s="33"/>
      <c r="L465" s="33">
        <v>3</v>
      </c>
      <c r="M465" s="33">
        <v>1</v>
      </c>
      <c r="N465" s="37"/>
      <c r="O465" s="33"/>
      <c r="P465" s="396">
        <v>7</v>
      </c>
      <c r="Q465" s="396"/>
      <c r="R465" s="135">
        <v>3</v>
      </c>
      <c r="S465" s="135"/>
      <c r="T465" s="92">
        <v>1</v>
      </c>
      <c r="U465" s="90"/>
      <c r="V465" s="237"/>
      <c r="W465" s="75">
        <v>1</v>
      </c>
      <c r="X465" s="75"/>
      <c r="Y465" s="33"/>
      <c r="Z465" s="265"/>
      <c r="AA465" s="134"/>
      <c r="AE465" s="134"/>
      <c r="AF465" s="134"/>
      <c r="AG465" s="134"/>
    </row>
    <row r="466" spans="1:33" s="22" customFormat="1" ht="15" customHeight="1">
      <c r="A466" s="7" t="s">
        <v>35</v>
      </c>
      <c r="B466" s="150"/>
      <c r="C466" s="29"/>
      <c r="D466" s="34"/>
      <c r="E466" s="36"/>
      <c r="F466" s="34">
        <v>2</v>
      </c>
      <c r="G466" s="34">
        <v>6</v>
      </c>
      <c r="H466" s="34">
        <v>6</v>
      </c>
      <c r="I466" s="34">
        <v>5</v>
      </c>
      <c r="J466" s="34">
        <v>3</v>
      </c>
      <c r="K466" s="149"/>
      <c r="L466" s="34"/>
      <c r="M466" s="34"/>
      <c r="N466" s="36">
        <v>3</v>
      </c>
      <c r="O466" s="149"/>
      <c r="P466" s="397"/>
      <c r="Q466" s="397">
        <v>1</v>
      </c>
      <c r="R466" s="136"/>
      <c r="S466" s="136">
        <v>1</v>
      </c>
      <c r="T466" s="92"/>
      <c r="U466" s="92">
        <v>3</v>
      </c>
      <c r="V466" s="292">
        <v>2</v>
      </c>
      <c r="W466" s="74"/>
      <c r="X466" s="74">
        <v>1</v>
      </c>
      <c r="Y466" s="34">
        <v>1</v>
      </c>
      <c r="Z466" s="265"/>
      <c r="AA466" s="134"/>
      <c r="AE466" s="132"/>
      <c r="AF466" s="132"/>
      <c r="AG466" s="132"/>
    </row>
    <row r="467" spans="1:33" s="22" customFormat="1" ht="15" customHeight="1">
      <c r="A467" s="9" t="s">
        <v>41</v>
      </c>
      <c r="B467" s="33"/>
      <c r="C467" s="33"/>
      <c r="D467" s="33"/>
      <c r="E467" s="33">
        <v>5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96">
        <v>2</v>
      </c>
      <c r="Q467" s="396"/>
      <c r="R467" s="135"/>
      <c r="S467" s="135"/>
      <c r="T467" s="75"/>
      <c r="U467" s="76"/>
      <c r="V467" s="37"/>
      <c r="W467" s="75"/>
      <c r="X467" s="33"/>
      <c r="Y467" s="33"/>
      <c r="Z467" s="265"/>
      <c r="AA467" s="134"/>
      <c r="AE467" s="132"/>
      <c r="AF467" s="132"/>
      <c r="AG467" s="132"/>
    </row>
    <row r="468" spans="1:33" s="22" customFormat="1" ht="15" customHeight="1">
      <c r="A468" s="7" t="s">
        <v>44</v>
      </c>
      <c r="B468" s="149"/>
      <c r="C468" s="34">
        <v>8</v>
      </c>
      <c r="D468" s="34">
        <v>4</v>
      </c>
      <c r="E468" s="34"/>
      <c r="F468" s="34">
        <v>7</v>
      </c>
      <c r="G468" s="34">
        <v>8</v>
      </c>
      <c r="H468" s="34">
        <v>9</v>
      </c>
      <c r="I468" s="34">
        <v>6</v>
      </c>
      <c r="J468" s="34">
        <v>6</v>
      </c>
      <c r="K468" s="149"/>
      <c r="L468" s="34">
        <v>8</v>
      </c>
      <c r="M468" s="34">
        <v>5</v>
      </c>
      <c r="N468" s="34">
        <v>12</v>
      </c>
      <c r="O468" s="149"/>
      <c r="P468" s="397"/>
      <c r="Q468" s="397">
        <v>7</v>
      </c>
      <c r="R468" s="136">
        <v>8</v>
      </c>
      <c r="S468" s="136">
        <v>7</v>
      </c>
      <c r="T468" s="74">
        <v>3</v>
      </c>
      <c r="U468" s="77">
        <v>5</v>
      </c>
      <c r="V468" s="36">
        <v>6</v>
      </c>
      <c r="W468" s="74">
        <v>10</v>
      </c>
      <c r="X468" s="34">
        <v>9</v>
      </c>
      <c r="Y468" s="34">
        <v>8</v>
      </c>
      <c r="Z468" s="265"/>
      <c r="AA468" s="134"/>
      <c r="AE468" s="132"/>
      <c r="AF468" s="132"/>
      <c r="AG468" s="132"/>
    </row>
    <row r="469" spans="1:33" ht="15" customHeight="1">
      <c r="A469" s="50">
        <f>+A444+1</f>
        <v>45985</v>
      </c>
      <c r="B469" s="63"/>
      <c r="C469" s="35"/>
      <c r="D469" s="57"/>
      <c r="E469" s="63"/>
      <c r="F469" s="57"/>
      <c r="G469" s="57"/>
      <c r="H469" s="57"/>
      <c r="I469" s="57"/>
      <c r="J469" s="57"/>
      <c r="K469" s="57"/>
      <c r="L469" s="57"/>
      <c r="M469" s="57"/>
      <c r="N469" s="63"/>
      <c r="O469" s="57"/>
      <c r="P469" s="399"/>
      <c r="Q469" s="399"/>
      <c r="R469" s="137"/>
      <c r="S469" s="137"/>
      <c r="T469" s="137"/>
      <c r="U469" s="137"/>
      <c r="V469" s="137"/>
      <c r="W469" s="137"/>
      <c r="X469" s="137"/>
      <c r="Y469" s="57"/>
      <c r="Z469" s="291"/>
      <c r="AA469" s="134"/>
      <c r="AE469" s="134"/>
      <c r="AF469" s="134"/>
      <c r="AG469" s="134"/>
    </row>
    <row r="470" spans="1:33" s="22" customFormat="1" ht="15" customHeight="1">
      <c r="A470" s="6" t="s">
        <v>48</v>
      </c>
      <c r="B470" s="37"/>
      <c r="C470" s="28"/>
      <c r="D470" s="33"/>
      <c r="E470" s="37">
        <v>3</v>
      </c>
      <c r="F470" s="33"/>
      <c r="G470" s="33"/>
      <c r="H470" s="33">
        <v>2</v>
      </c>
      <c r="I470" s="33"/>
      <c r="J470" s="33"/>
      <c r="K470" s="33"/>
      <c r="L470" s="33"/>
      <c r="M470" s="33"/>
      <c r="N470" s="37"/>
      <c r="O470" s="33"/>
      <c r="P470" s="396"/>
      <c r="Q470" s="396"/>
      <c r="R470" s="135"/>
      <c r="S470" s="135"/>
      <c r="T470" s="75"/>
      <c r="U470" s="90"/>
      <c r="V470" s="237"/>
      <c r="W470" s="75"/>
      <c r="X470" s="75"/>
      <c r="Y470" s="33"/>
      <c r="Z470" s="265"/>
      <c r="AA470" s="134"/>
      <c r="AE470" s="134"/>
      <c r="AF470" s="134"/>
      <c r="AG470" s="134"/>
    </row>
    <row r="471" spans="1:33" s="22" customFormat="1" ht="15" customHeight="1">
      <c r="A471" s="10" t="s">
        <v>42</v>
      </c>
      <c r="B471" s="150"/>
      <c r="C471" s="29">
        <v>7</v>
      </c>
      <c r="D471" s="34">
        <v>14</v>
      </c>
      <c r="E471" s="36"/>
      <c r="F471" s="34">
        <v>11</v>
      </c>
      <c r="G471" s="34">
        <v>7</v>
      </c>
      <c r="H471" s="34"/>
      <c r="I471" s="34">
        <v>8</v>
      </c>
      <c r="J471" s="34">
        <v>5</v>
      </c>
      <c r="K471" s="149"/>
      <c r="L471" s="34">
        <v>10</v>
      </c>
      <c r="M471" s="34">
        <v>10</v>
      </c>
      <c r="N471" s="36">
        <v>7</v>
      </c>
      <c r="O471" s="149"/>
      <c r="P471" s="397">
        <v>12</v>
      </c>
      <c r="Q471" s="397">
        <v>10</v>
      </c>
      <c r="R471" s="136">
        <v>5</v>
      </c>
      <c r="S471" s="136">
        <v>8</v>
      </c>
      <c r="T471" s="74">
        <v>4</v>
      </c>
      <c r="U471" s="92">
        <v>4</v>
      </c>
      <c r="V471" s="292">
        <v>4</v>
      </c>
      <c r="W471" s="74">
        <v>9</v>
      </c>
      <c r="X471" s="74">
        <v>3</v>
      </c>
      <c r="Y471" s="34">
        <v>7</v>
      </c>
      <c r="Z471" s="265"/>
      <c r="AA471" s="134"/>
      <c r="AE471" s="132"/>
      <c r="AF471" s="132"/>
      <c r="AG471" s="132"/>
    </row>
    <row r="472" spans="1:33" ht="15" customHeight="1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65"/>
      <c r="AA472" s="134"/>
      <c r="AE472" s="134"/>
      <c r="AF472" s="134"/>
      <c r="AG472" s="134"/>
    </row>
    <row r="473" spans="1:33" ht="15" customHeight="1">
      <c r="A473" s="16" t="s">
        <v>22</v>
      </c>
      <c r="B473" s="11"/>
      <c r="C473" s="11">
        <f t="shared" ref="C473:Y473" si="21">SUM(C442:C471)</f>
        <v>105</v>
      </c>
      <c r="D473" s="11">
        <f t="shared" si="21"/>
        <v>105</v>
      </c>
      <c r="E473" s="11">
        <f t="shared" si="21"/>
        <v>105</v>
      </c>
      <c r="F473" s="11">
        <f t="shared" si="21"/>
        <v>105</v>
      </c>
      <c r="G473" s="11">
        <f t="shared" si="21"/>
        <v>105</v>
      </c>
      <c r="H473" s="11">
        <f t="shared" si="21"/>
        <v>105</v>
      </c>
      <c r="I473" s="11">
        <f t="shared" si="21"/>
        <v>105</v>
      </c>
      <c r="J473" s="11">
        <f t="shared" si="21"/>
        <v>105</v>
      </c>
      <c r="K473" s="11">
        <f t="shared" si="21"/>
        <v>1</v>
      </c>
      <c r="L473" s="11">
        <f t="shared" si="21"/>
        <v>105</v>
      </c>
      <c r="M473" s="11">
        <f t="shared" si="21"/>
        <v>105</v>
      </c>
      <c r="N473" s="11">
        <f t="shared" si="21"/>
        <v>105</v>
      </c>
      <c r="O473" s="11">
        <f t="shared" si="21"/>
        <v>0</v>
      </c>
      <c r="P473" s="11">
        <f t="shared" si="21"/>
        <v>105</v>
      </c>
      <c r="Q473" s="11">
        <f t="shared" si="21"/>
        <v>105</v>
      </c>
      <c r="R473" s="11">
        <f t="shared" si="21"/>
        <v>105</v>
      </c>
      <c r="S473" s="11">
        <f t="shared" si="21"/>
        <v>105</v>
      </c>
      <c r="T473" s="11">
        <f t="shared" si="21"/>
        <v>105</v>
      </c>
      <c r="U473" s="11">
        <f t="shared" si="21"/>
        <v>105</v>
      </c>
      <c r="V473" s="11">
        <f t="shared" si="21"/>
        <v>105</v>
      </c>
      <c r="W473" s="11">
        <f t="shared" si="21"/>
        <v>105</v>
      </c>
      <c r="X473" s="11">
        <f t="shared" si="21"/>
        <v>105</v>
      </c>
      <c r="Y473" s="11">
        <f>SUM(Y442:Y471)</f>
        <v>105</v>
      </c>
      <c r="Z473" s="291"/>
      <c r="AA473" s="134"/>
      <c r="AE473" s="134"/>
      <c r="AF473" s="134"/>
      <c r="AG473" s="134"/>
    </row>
    <row r="474" spans="1:33" ht="15" customHeight="1">
      <c r="A474" s="16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265"/>
      <c r="AA474" s="134"/>
      <c r="AE474" s="134"/>
      <c r="AF474" s="134"/>
      <c r="AG474" s="134"/>
    </row>
    <row r="475" spans="1:33" ht="15" customHeight="1">
      <c r="A475" s="13" t="s">
        <v>23</v>
      </c>
      <c r="B475" s="12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265"/>
      <c r="AA475" s="134"/>
      <c r="AE475" s="134"/>
      <c r="AF475" s="134"/>
      <c r="AG475" s="134"/>
    </row>
    <row r="476" spans="1:33" ht="15" customHeight="1">
      <c r="A476" s="13"/>
      <c r="B476" s="12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 spans="1:33" ht="15" customHeight="1">
      <c r="A477" s="13" t="s">
        <v>11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ht="15" customHeight="1" thickBot="1">
      <c r="A478" s="20">
        <f>+A441+7</f>
        <v>45988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33" s="22" customFormat="1" ht="15" customHeight="1">
      <c r="A479" s="9" t="s">
        <v>37</v>
      </c>
      <c r="B479" s="142"/>
      <c r="C479" s="142"/>
      <c r="D479" s="143"/>
      <c r="E479" s="144"/>
      <c r="F479" s="143"/>
      <c r="G479" s="143"/>
      <c r="H479" s="143"/>
      <c r="I479" s="143"/>
      <c r="J479" s="143"/>
      <c r="K479" s="143"/>
      <c r="L479" s="143"/>
      <c r="M479" s="143"/>
      <c r="N479" s="144"/>
      <c r="O479" s="143"/>
      <c r="P479" s="144"/>
      <c r="Q479" s="144"/>
      <c r="R479" s="144"/>
      <c r="S479" s="144"/>
      <c r="T479" s="145"/>
      <c r="U479" s="170"/>
      <c r="V479" s="144"/>
      <c r="W479" s="145"/>
      <c r="X479" s="145"/>
      <c r="Y479" s="143"/>
      <c r="AA479" s="146"/>
      <c r="AB479" s="220" t="s">
        <v>11</v>
      </c>
    </row>
    <row r="480" spans="1:33" s="22" customFormat="1" ht="15" customHeight="1">
      <c r="A480" s="7" t="s">
        <v>55</v>
      </c>
      <c r="B480" s="34"/>
      <c r="C480" s="34"/>
      <c r="D480" s="34"/>
      <c r="E480" s="36"/>
      <c r="F480" s="34"/>
      <c r="G480" s="34"/>
      <c r="H480" s="34"/>
      <c r="I480" s="34"/>
      <c r="J480" s="34"/>
      <c r="K480" s="34"/>
      <c r="L480" s="34"/>
      <c r="M480" s="34"/>
      <c r="N480" s="36"/>
      <c r="O480" s="34"/>
      <c r="P480" s="177"/>
      <c r="Q480" s="136"/>
      <c r="R480" s="177"/>
      <c r="S480" s="177"/>
      <c r="T480" s="74"/>
      <c r="U480" s="88"/>
      <c r="V480" s="136"/>
      <c r="W480" s="74"/>
      <c r="X480" s="74"/>
      <c r="Y480" s="34"/>
      <c r="AA480" s="109"/>
      <c r="AB480" s="218" t="s">
        <v>324</v>
      </c>
      <c r="AC480" s="1"/>
    </row>
    <row r="481" spans="1:30" s="22" customFormat="1" ht="15" customHeight="1">
      <c r="A481" s="9" t="s">
        <v>30</v>
      </c>
      <c r="B481" s="142"/>
      <c r="C481" s="142"/>
      <c r="D481" s="143"/>
      <c r="E481" s="144"/>
      <c r="F481" s="143"/>
      <c r="G481" s="143"/>
      <c r="H481" s="143"/>
      <c r="I481" s="143"/>
      <c r="J481" s="143"/>
      <c r="K481" s="143"/>
      <c r="L481" s="143"/>
      <c r="M481" s="143"/>
      <c r="N481" s="144"/>
      <c r="O481" s="143"/>
      <c r="P481" s="144"/>
      <c r="Q481" s="144"/>
      <c r="R481" s="144"/>
      <c r="S481" s="27"/>
      <c r="T481" s="145"/>
      <c r="U481" s="166"/>
      <c r="V481" s="144"/>
      <c r="W481" s="145"/>
      <c r="X481" s="145"/>
      <c r="Y481" s="143"/>
      <c r="AA481" s="146"/>
      <c r="AB481" s="221" t="s">
        <v>325</v>
      </c>
      <c r="AD481" s="1"/>
    </row>
    <row r="482" spans="1:30" s="22" customFormat="1" ht="15" customHeight="1">
      <c r="A482" s="7" t="s">
        <v>60</v>
      </c>
      <c r="B482" s="34"/>
      <c r="C482" s="34"/>
      <c r="D482" s="34"/>
      <c r="E482" s="36"/>
      <c r="F482" s="34"/>
      <c r="G482" s="34"/>
      <c r="H482" s="34"/>
      <c r="I482" s="34"/>
      <c r="J482" s="34"/>
      <c r="K482" s="34"/>
      <c r="L482" s="34"/>
      <c r="M482" s="34"/>
      <c r="N482" s="36"/>
      <c r="O482" s="34"/>
      <c r="P482" s="177"/>
      <c r="Q482" s="136"/>
      <c r="R482" s="177"/>
      <c r="S482" s="176"/>
      <c r="T482" s="74"/>
      <c r="U482" s="92"/>
      <c r="V482" s="136"/>
      <c r="W482" s="74"/>
      <c r="X482" s="74"/>
      <c r="Y482" s="34"/>
      <c r="AB482" s="221" t="s">
        <v>326</v>
      </c>
      <c r="AC482" s="1"/>
      <c r="AD482" s="1"/>
    </row>
    <row r="483" spans="1:30" s="22" customFormat="1" ht="15" customHeight="1">
      <c r="A483" s="9" t="s">
        <v>57</v>
      </c>
      <c r="B483" s="143"/>
      <c r="C483" s="143"/>
      <c r="D483" s="143"/>
      <c r="E483" s="144"/>
      <c r="F483" s="143"/>
      <c r="G483" s="143"/>
      <c r="H483" s="143"/>
      <c r="I483" s="143"/>
      <c r="J483" s="143"/>
      <c r="K483" s="143"/>
      <c r="L483" s="173"/>
      <c r="M483" s="143"/>
      <c r="N483" s="144"/>
      <c r="O483" s="143"/>
      <c r="P483" s="144"/>
      <c r="Q483" s="144"/>
      <c r="R483" s="144"/>
      <c r="S483" s="144"/>
      <c r="T483" s="145"/>
      <c r="U483" s="170"/>
      <c r="V483" s="144"/>
      <c r="W483" s="145"/>
      <c r="X483" s="145"/>
      <c r="Y483" s="143"/>
      <c r="AB483" s="221" t="s">
        <v>327</v>
      </c>
      <c r="AC483" s="1"/>
      <c r="AD483" s="1"/>
    </row>
    <row r="484" spans="1:30" s="22" customFormat="1" ht="15" customHeight="1">
      <c r="A484" s="7" t="s">
        <v>45</v>
      </c>
      <c r="B484" s="34"/>
      <c r="C484" s="34"/>
      <c r="D484" s="34"/>
      <c r="E484" s="36"/>
      <c r="F484" s="34"/>
      <c r="G484" s="34"/>
      <c r="H484" s="34"/>
      <c r="I484" s="34"/>
      <c r="J484" s="34"/>
      <c r="K484" s="34"/>
      <c r="L484" s="34"/>
      <c r="M484" s="34"/>
      <c r="N484" s="36"/>
      <c r="O484" s="34"/>
      <c r="P484" s="177"/>
      <c r="Q484" s="136"/>
      <c r="R484" s="177"/>
      <c r="S484" s="177"/>
      <c r="T484" s="74"/>
      <c r="U484" s="88"/>
      <c r="V484" s="136"/>
      <c r="W484" s="74"/>
      <c r="X484" s="74"/>
      <c r="Y484" s="34"/>
      <c r="AA484" s="132"/>
      <c r="AB484" s="218" t="s">
        <v>135</v>
      </c>
      <c r="AC484" s="1"/>
    </row>
    <row r="485" spans="1:30" s="22" customFormat="1" ht="15" customHeight="1">
      <c r="A485" s="15">
        <f>+A478+1</f>
        <v>45989</v>
      </c>
      <c r="B485" s="25"/>
      <c r="C485" s="25"/>
      <c r="D485" s="93"/>
      <c r="E485" s="25"/>
      <c r="F485" s="93"/>
      <c r="G485" s="93"/>
      <c r="H485" s="93"/>
      <c r="I485" s="93"/>
      <c r="J485" s="93"/>
      <c r="K485" s="93"/>
      <c r="L485" s="93"/>
      <c r="M485" s="131"/>
      <c r="N485" s="93"/>
      <c r="O485" s="93"/>
      <c r="P485" s="178"/>
      <c r="Q485" s="138"/>
      <c r="R485" s="178"/>
      <c r="S485" s="178"/>
      <c r="T485" s="25"/>
      <c r="U485" s="25"/>
      <c r="V485" s="138"/>
      <c r="W485" s="25"/>
      <c r="X485" s="25"/>
      <c r="Y485" s="60"/>
      <c r="AA485" s="134"/>
      <c r="AB485" s="221" t="s">
        <v>328</v>
      </c>
      <c r="AD485" s="1"/>
    </row>
    <row r="486" spans="1:30" s="22" customFormat="1" ht="15" customHeight="1">
      <c r="A486" s="9" t="s">
        <v>58</v>
      </c>
      <c r="B486" s="149"/>
      <c r="C486" s="149"/>
      <c r="D486" s="149"/>
      <c r="E486" s="150"/>
      <c r="F486" s="149"/>
      <c r="G486" s="149"/>
      <c r="H486" s="149"/>
      <c r="I486" s="149"/>
      <c r="J486" s="149"/>
      <c r="K486" s="149"/>
      <c r="L486" s="149"/>
      <c r="M486" s="149"/>
      <c r="N486" s="150"/>
      <c r="O486" s="149"/>
      <c r="P486" s="150"/>
      <c r="Q486" s="150"/>
      <c r="R486" s="150"/>
      <c r="S486" s="150"/>
      <c r="T486" s="151"/>
      <c r="U486" s="164"/>
      <c r="V486" s="150"/>
      <c r="W486" s="151"/>
      <c r="X486" s="228"/>
      <c r="Y486" s="148"/>
      <c r="AA486" s="134"/>
      <c r="AB486" s="218" t="s">
        <v>136</v>
      </c>
    </row>
    <row r="487" spans="1:30" s="22" customFormat="1" ht="15" customHeight="1">
      <c r="A487" s="7" t="s">
        <v>32</v>
      </c>
      <c r="B487" s="34"/>
      <c r="C487" s="34"/>
      <c r="D487" s="34"/>
      <c r="E487" s="36"/>
      <c r="F487" s="34"/>
      <c r="G487" s="34"/>
      <c r="H487" s="34"/>
      <c r="I487" s="34"/>
      <c r="J487" s="34"/>
      <c r="K487" s="34"/>
      <c r="L487" s="34"/>
      <c r="M487" s="34"/>
      <c r="N487" s="36"/>
      <c r="O487" s="34"/>
      <c r="P487" s="177"/>
      <c r="Q487" s="136"/>
      <c r="R487" s="177"/>
      <c r="S487" s="177"/>
      <c r="T487" s="74"/>
      <c r="U487" s="92"/>
      <c r="V487" s="136"/>
      <c r="W487" s="74"/>
      <c r="X487" s="74"/>
      <c r="Y487" s="34"/>
      <c r="AA487" s="132"/>
      <c r="AB487" s="221" t="s">
        <v>329</v>
      </c>
      <c r="AC487" s="1"/>
    </row>
    <row r="488" spans="1:30" s="22" customFormat="1" ht="15" customHeight="1">
      <c r="A488" s="20">
        <f>+A478+3</f>
        <v>45991</v>
      </c>
      <c r="B488" s="25"/>
      <c r="C488" s="25"/>
      <c r="D488" s="93"/>
      <c r="E488" s="25"/>
      <c r="F488" s="93"/>
      <c r="G488" s="93"/>
      <c r="H488" s="93"/>
      <c r="I488" s="93"/>
      <c r="J488" s="93"/>
      <c r="K488" s="93"/>
      <c r="L488" s="93"/>
      <c r="M488" s="131"/>
      <c r="N488" s="93"/>
      <c r="O488" s="93"/>
      <c r="P488" s="178"/>
      <c r="Q488" s="138"/>
      <c r="R488" s="178"/>
      <c r="S488" s="178"/>
      <c r="T488" s="25"/>
      <c r="U488" s="25"/>
      <c r="V488" s="138"/>
      <c r="W488" s="25"/>
      <c r="X488" s="25"/>
      <c r="Y488" s="60"/>
      <c r="AA488" s="132"/>
      <c r="AB488" s="221" t="s">
        <v>330</v>
      </c>
    </row>
    <row r="489" spans="1:30" s="22" customFormat="1" ht="15" customHeight="1">
      <c r="A489" s="9" t="s">
        <v>44</v>
      </c>
      <c r="B489" s="33"/>
      <c r="C489" s="33"/>
      <c r="D489" s="33"/>
      <c r="E489" s="37"/>
      <c r="F489" s="33"/>
      <c r="G489" s="33"/>
      <c r="H489" s="33"/>
      <c r="I489" s="33"/>
      <c r="J489" s="33"/>
      <c r="K489" s="33"/>
      <c r="L489" s="33"/>
      <c r="M489" s="33"/>
      <c r="N489" s="37"/>
      <c r="O489" s="33"/>
      <c r="P489" s="176"/>
      <c r="Q489" s="135"/>
      <c r="R489" s="176"/>
      <c r="S489" s="176"/>
      <c r="T489" s="75"/>
      <c r="U489" s="87"/>
      <c r="V489" s="135"/>
      <c r="W489" s="75"/>
      <c r="X489" s="75"/>
      <c r="Y489" s="33"/>
      <c r="AA489" s="134"/>
      <c r="AB489" s="221" t="s">
        <v>331</v>
      </c>
    </row>
    <row r="490" spans="1:30" s="22" customFormat="1" ht="15" customHeight="1">
      <c r="A490" s="7" t="s">
        <v>48</v>
      </c>
      <c r="B490" s="149"/>
      <c r="C490" s="149"/>
      <c r="D490" s="149"/>
      <c r="E490" s="150"/>
      <c r="F490" s="149"/>
      <c r="G490" s="149"/>
      <c r="H490" s="149"/>
      <c r="I490" s="149"/>
      <c r="J490" s="149"/>
      <c r="K490" s="149"/>
      <c r="L490" s="149"/>
      <c r="M490" s="149"/>
      <c r="N490" s="150"/>
      <c r="O490" s="149"/>
      <c r="P490" s="150"/>
      <c r="Q490" s="150"/>
      <c r="R490" s="150"/>
      <c r="S490" s="150"/>
      <c r="T490" s="151"/>
      <c r="U490" s="171"/>
      <c r="V490" s="150"/>
      <c r="W490" s="151"/>
      <c r="X490" s="151"/>
      <c r="Y490" s="149"/>
      <c r="AA490"/>
      <c r="AB490" s="221" t="s">
        <v>332</v>
      </c>
      <c r="AC490" s="1"/>
    </row>
    <row r="491" spans="1:30" s="22" customFormat="1" ht="15" customHeight="1">
      <c r="A491" s="9" t="s">
        <v>42</v>
      </c>
      <c r="B491" s="33"/>
      <c r="C491" s="33"/>
      <c r="D491" s="33"/>
      <c r="E491" s="37"/>
      <c r="F491" s="33"/>
      <c r="G491" s="33"/>
      <c r="H491" s="33"/>
      <c r="I491" s="33"/>
      <c r="J491" s="33"/>
      <c r="K491" s="33"/>
      <c r="L491" s="33"/>
      <c r="M491" s="33"/>
      <c r="N491" s="37"/>
      <c r="O491" s="33"/>
      <c r="P491" s="176"/>
      <c r="Q491" s="135"/>
      <c r="R491" s="176"/>
      <c r="S491" s="176"/>
      <c r="T491" s="75"/>
      <c r="U491" s="90"/>
      <c r="V491" s="135"/>
      <c r="W491" s="75"/>
      <c r="X491" s="75"/>
      <c r="Y491" s="33"/>
      <c r="Z491" s="109"/>
      <c r="AA491"/>
      <c r="AB491" s="221" t="s">
        <v>333</v>
      </c>
    </row>
    <row r="492" spans="1:30" s="22" customFormat="1" ht="15" customHeight="1">
      <c r="A492" s="7" t="s">
        <v>47</v>
      </c>
      <c r="B492" s="149"/>
      <c r="C492" s="149"/>
      <c r="D492" s="149"/>
      <c r="E492" s="150"/>
      <c r="F492" s="149"/>
      <c r="G492" s="149"/>
      <c r="H492" s="149"/>
      <c r="I492" s="149"/>
      <c r="J492" s="149"/>
      <c r="K492" s="149"/>
      <c r="L492" s="149"/>
      <c r="M492" s="149"/>
      <c r="N492" s="150"/>
      <c r="O492" s="149"/>
      <c r="P492" s="150"/>
      <c r="Q492" s="150"/>
      <c r="R492" s="150"/>
      <c r="S492" s="150"/>
      <c r="T492" s="151"/>
      <c r="U492" s="164"/>
      <c r="V492" s="150"/>
      <c r="W492" s="151"/>
      <c r="X492" s="151"/>
      <c r="Y492" s="149"/>
      <c r="Z492" s="146"/>
      <c r="AA492" s="27"/>
      <c r="AB492" s="221" t="s">
        <v>334</v>
      </c>
    </row>
    <row r="493" spans="1:30" s="22" customFormat="1" ht="15" customHeight="1">
      <c r="A493" s="9" t="s">
        <v>50</v>
      </c>
      <c r="B493" s="33"/>
      <c r="C493" s="33"/>
      <c r="D493" s="33"/>
      <c r="E493" s="37"/>
      <c r="F493" s="33"/>
      <c r="G493" s="33"/>
      <c r="H493" s="33"/>
      <c r="I493" s="33"/>
      <c r="J493" s="33"/>
      <c r="K493" s="33"/>
      <c r="L493" s="33"/>
      <c r="M493" s="33"/>
      <c r="N493" s="37"/>
      <c r="O493" s="33"/>
      <c r="P493" s="176"/>
      <c r="Q493" s="135"/>
      <c r="R493" s="176"/>
      <c r="S493" s="176"/>
      <c r="T493" s="75"/>
      <c r="U493" s="87"/>
      <c r="V493" s="135"/>
      <c r="W493" s="75"/>
      <c r="X493" s="75"/>
      <c r="Y493" s="33"/>
      <c r="Z493" s="109"/>
      <c r="AA493" s="27"/>
      <c r="AB493" s="221" t="s">
        <v>335</v>
      </c>
    </row>
    <row r="494" spans="1:30" s="22" customFormat="1" ht="15" customHeight="1">
      <c r="A494" s="7" t="s">
        <v>49</v>
      </c>
      <c r="B494" s="149"/>
      <c r="C494" s="149"/>
      <c r="D494" s="149"/>
      <c r="E494" s="150"/>
      <c r="F494" s="149"/>
      <c r="G494" s="149"/>
      <c r="H494" s="149"/>
      <c r="I494" s="149"/>
      <c r="J494" s="149"/>
      <c r="K494" s="149"/>
      <c r="L494" s="149"/>
      <c r="M494" s="149"/>
      <c r="N494" s="150"/>
      <c r="O494" s="149"/>
      <c r="P494" s="150"/>
      <c r="Q494" s="150"/>
      <c r="R494" s="150"/>
      <c r="S494" s="150"/>
      <c r="T494" s="151"/>
      <c r="U494" s="171"/>
      <c r="V494" s="150"/>
      <c r="W494" s="151"/>
      <c r="X494" s="151"/>
      <c r="Y494" s="149"/>
      <c r="Z494" s="146"/>
      <c r="AA494" s="134"/>
      <c r="AB494" s="221" t="s">
        <v>336</v>
      </c>
    </row>
    <row r="495" spans="1:30" s="22" customFormat="1" ht="15" customHeight="1">
      <c r="A495" s="9" t="s">
        <v>35</v>
      </c>
      <c r="B495" s="143"/>
      <c r="C495" s="143"/>
      <c r="D495" s="143"/>
      <c r="E495" s="144"/>
      <c r="F495" s="143"/>
      <c r="G495" s="143"/>
      <c r="H495" s="143"/>
      <c r="I495" s="143"/>
      <c r="J495" s="143"/>
      <c r="K495" s="143"/>
      <c r="L495" s="143"/>
      <c r="M495" s="143"/>
      <c r="N495" s="144"/>
      <c r="O495" s="143"/>
      <c r="P495" s="144"/>
      <c r="Q495" s="144"/>
      <c r="R495" s="144"/>
      <c r="S495" s="144"/>
      <c r="T495" s="145"/>
      <c r="U495" s="166"/>
      <c r="V495" s="144"/>
      <c r="W495" s="145"/>
      <c r="X495" s="145"/>
      <c r="Y495" s="143"/>
      <c r="Z495" s="146"/>
      <c r="AA495" s="134"/>
      <c r="AB495" s="221" t="s">
        <v>337</v>
      </c>
    </row>
    <row r="496" spans="1:30" s="22" customFormat="1" ht="15" customHeight="1">
      <c r="A496" s="7" t="s">
        <v>53</v>
      </c>
      <c r="B496" s="34"/>
      <c r="C496" s="34"/>
      <c r="D496" s="34"/>
      <c r="E496" s="36"/>
      <c r="F496" s="34"/>
      <c r="G496" s="34"/>
      <c r="H496" s="34"/>
      <c r="I496" s="34"/>
      <c r="J496" s="34"/>
      <c r="K496" s="34"/>
      <c r="L496" s="34"/>
      <c r="M496" s="34"/>
      <c r="N496" s="36"/>
      <c r="O496" s="34"/>
      <c r="P496" s="177"/>
      <c r="Q496" s="136"/>
      <c r="R496" s="177"/>
      <c r="S496" s="177"/>
      <c r="T496" s="74"/>
      <c r="U496" s="92"/>
      <c r="V496" s="136"/>
      <c r="W496" s="74"/>
      <c r="X496" s="74"/>
      <c r="Y496" s="34"/>
      <c r="Z496" s="109"/>
      <c r="AA496" s="134"/>
      <c r="AB496" s="221" t="s">
        <v>338</v>
      </c>
    </row>
    <row r="497" spans="1:33" s="22" customFormat="1" ht="15" customHeight="1">
      <c r="A497" s="9" t="s">
        <v>54</v>
      </c>
      <c r="B497" s="143"/>
      <c r="C497" s="143"/>
      <c r="D497" s="143"/>
      <c r="E497" s="144"/>
      <c r="F497" s="143"/>
      <c r="G497" s="143"/>
      <c r="H497" s="143"/>
      <c r="I497" s="143"/>
      <c r="J497" s="143"/>
      <c r="K497" s="143"/>
      <c r="L497" s="143"/>
      <c r="M497" s="143"/>
      <c r="N497" s="144"/>
      <c r="O497" s="143"/>
      <c r="P497" s="144"/>
      <c r="Q497" s="144"/>
      <c r="R497" s="144"/>
      <c r="S497" s="144"/>
      <c r="T497" s="145"/>
      <c r="U497" s="170"/>
      <c r="V497" s="144"/>
      <c r="W497" s="145"/>
      <c r="X497" s="145"/>
      <c r="Y497" s="143"/>
      <c r="Z497" s="146"/>
      <c r="AA497" s="134"/>
      <c r="AB497" s="221" t="s">
        <v>339</v>
      </c>
    </row>
    <row r="498" spans="1:33" s="22" customFormat="1" ht="15" customHeight="1">
      <c r="A498" s="7" t="s">
        <v>46</v>
      </c>
      <c r="B498" s="34"/>
      <c r="C498" s="34"/>
      <c r="D498" s="34"/>
      <c r="E498" s="36"/>
      <c r="F498" s="34"/>
      <c r="G498" s="34"/>
      <c r="H498" s="34"/>
      <c r="I498" s="34"/>
      <c r="J498" s="34"/>
      <c r="K498" s="34"/>
      <c r="L498" s="34"/>
      <c r="M498" s="34"/>
      <c r="N498" s="36"/>
      <c r="O498" s="34"/>
      <c r="P498" s="177"/>
      <c r="Q498" s="136"/>
      <c r="R498" s="177"/>
      <c r="S498" s="177"/>
      <c r="T498" s="74"/>
      <c r="U498" s="88"/>
      <c r="V498" s="136"/>
      <c r="W498" s="74"/>
      <c r="X498" s="74"/>
      <c r="Y498" s="34"/>
      <c r="Z498" s="109"/>
      <c r="AA498"/>
      <c r="AB498" s="218" t="s">
        <v>137</v>
      </c>
    </row>
    <row r="499" spans="1:33" s="22" customFormat="1" ht="15" customHeight="1">
      <c r="A499" s="9" t="s">
        <v>43</v>
      </c>
      <c r="B499" s="33"/>
      <c r="C499" s="33"/>
      <c r="D499" s="33"/>
      <c r="E499" s="37"/>
      <c r="F499" s="33"/>
      <c r="G499" s="33"/>
      <c r="H499" s="33"/>
      <c r="I499" s="33"/>
      <c r="J499" s="33"/>
      <c r="K499" s="33"/>
      <c r="L499" s="33"/>
      <c r="M499" s="33"/>
      <c r="N499" s="37"/>
      <c r="O499" s="33"/>
      <c r="P499" s="176"/>
      <c r="Q499" s="135"/>
      <c r="R499" s="176"/>
      <c r="S499" s="176"/>
      <c r="T499" s="75"/>
      <c r="U499" s="90"/>
      <c r="V499" s="135"/>
      <c r="W499" s="75"/>
      <c r="X499" s="75"/>
      <c r="Y499" s="33"/>
      <c r="Z499" s="109"/>
      <c r="AA499" s="132"/>
      <c r="AB499" s="221" t="s">
        <v>340</v>
      </c>
      <c r="AC499" s="134"/>
      <c r="AD499" s="27"/>
    </row>
    <row r="500" spans="1:33" s="22" customFormat="1" ht="15" customHeight="1">
      <c r="A500" s="7" t="s">
        <v>41</v>
      </c>
      <c r="B500" s="149"/>
      <c r="C500" s="149"/>
      <c r="D500" s="149"/>
      <c r="E500" s="150"/>
      <c r="F500" s="149"/>
      <c r="G500" s="149"/>
      <c r="H500" s="149"/>
      <c r="I500" s="149"/>
      <c r="J500" s="149"/>
      <c r="K500" s="149"/>
      <c r="L500" s="149"/>
      <c r="M500" s="149"/>
      <c r="N500" s="150"/>
      <c r="O500" s="149"/>
      <c r="P500" s="150"/>
      <c r="Q500" s="150"/>
      <c r="R500" s="150"/>
      <c r="S500" s="150"/>
      <c r="T500" s="151"/>
      <c r="U500" s="164"/>
      <c r="V500" s="150"/>
      <c r="W500" s="151"/>
      <c r="X500" s="151"/>
      <c r="Y500" s="149"/>
      <c r="Z500" s="146"/>
    </row>
    <row r="501" spans="1:33" s="22" customFormat="1" ht="15" customHeight="1">
      <c r="A501" s="9" t="s">
        <v>39</v>
      </c>
      <c r="B501" s="33"/>
      <c r="C501" s="33"/>
      <c r="D501" s="33"/>
      <c r="E501" s="37"/>
      <c r="F501" s="33"/>
      <c r="G501" s="33"/>
      <c r="H501" s="33"/>
      <c r="I501" s="33"/>
      <c r="J501" s="33"/>
      <c r="K501" s="33"/>
      <c r="L501" s="33"/>
      <c r="M501" s="33"/>
      <c r="N501" s="37"/>
      <c r="O501" s="33"/>
      <c r="P501" s="176"/>
      <c r="Q501" s="135"/>
      <c r="R501" s="176"/>
      <c r="S501" s="176"/>
      <c r="T501" s="75"/>
      <c r="U501" s="87"/>
      <c r="V501" s="135"/>
      <c r="W501" s="75"/>
      <c r="X501" s="75"/>
      <c r="Y501" s="33"/>
      <c r="Z501" s="109"/>
    </row>
    <row r="502" spans="1:33" s="22" customFormat="1" ht="15" customHeight="1">
      <c r="A502" s="7" t="s">
        <v>33</v>
      </c>
      <c r="B502" s="149"/>
      <c r="C502" s="149"/>
      <c r="D502" s="149"/>
      <c r="E502" s="150"/>
      <c r="F502" s="149"/>
      <c r="G502" s="149"/>
      <c r="H502" s="149"/>
      <c r="I502" s="149"/>
      <c r="J502" s="149"/>
      <c r="K502" s="149"/>
      <c r="L502" s="149"/>
      <c r="M502" s="149"/>
      <c r="N502" s="150"/>
      <c r="O502" s="149"/>
      <c r="P502" s="150"/>
      <c r="Q502" s="150"/>
      <c r="R502" s="150"/>
      <c r="S502" s="150"/>
      <c r="T502" s="151"/>
      <c r="U502" s="171"/>
      <c r="V502" s="150"/>
      <c r="W502" s="151"/>
      <c r="X502" s="151"/>
      <c r="Y502" s="149"/>
      <c r="Z502" s="146"/>
    </row>
    <row r="503" spans="1:33" s="22" customFormat="1" ht="15" customHeight="1">
      <c r="A503" s="9" t="s">
        <v>31</v>
      </c>
      <c r="B503" s="33"/>
      <c r="C503" s="33"/>
      <c r="D503" s="33"/>
      <c r="E503" s="37"/>
      <c r="F503" s="33"/>
      <c r="G503" s="33"/>
      <c r="H503" s="33"/>
      <c r="I503" s="33"/>
      <c r="J503" s="33"/>
      <c r="K503" s="33"/>
      <c r="L503" s="33"/>
      <c r="M503" s="33"/>
      <c r="N503" s="37"/>
      <c r="O503" s="33"/>
      <c r="P503" s="176"/>
      <c r="Q503" s="135"/>
      <c r="R503" s="176"/>
      <c r="S503" s="176"/>
      <c r="T503" s="75"/>
      <c r="U503" s="90"/>
      <c r="V503" s="135"/>
      <c r="W503" s="75"/>
      <c r="X503" s="75"/>
      <c r="Y503" s="33"/>
      <c r="Z503" s="109"/>
    </row>
    <row r="504" spans="1:33" s="22" customFormat="1" ht="15" customHeight="1">
      <c r="A504" s="7" t="s">
        <v>40</v>
      </c>
      <c r="B504" s="149"/>
      <c r="C504" s="149"/>
      <c r="D504" s="149"/>
      <c r="E504" s="150"/>
      <c r="F504" s="149"/>
      <c r="G504" s="149"/>
      <c r="H504" s="149"/>
      <c r="I504" s="149"/>
      <c r="J504" s="149"/>
      <c r="K504" s="149"/>
      <c r="L504" s="149"/>
      <c r="M504" s="149"/>
      <c r="N504" s="150"/>
      <c r="O504" s="149"/>
      <c r="P504" s="150"/>
      <c r="Q504" s="150"/>
      <c r="R504" s="150"/>
      <c r="S504" s="150"/>
      <c r="T504" s="151"/>
      <c r="U504" s="164"/>
      <c r="V504" s="150"/>
      <c r="W504" s="151"/>
      <c r="X504" s="151"/>
      <c r="Y504" s="149"/>
      <c r="Z504" s="146"/>
    </row>
    <row r="505" spans="1:33" s="22" customFormat="1" ht="15" customHeight="1">
      <c r="A505" s="9" t="s">
        <v>59</v>
      </c>
      <c r="B505" s="33"/>
      <c r="C505" s="33"/>
      <c r="D505" s="33"/>
      <c r="E505" s="37"/>
      <c r="F505" s="33"/>
      <c r="G505" s="33"/>
      <c r="H505" s="33"/>
      <c r="I505" s="33"/>
      <c r="J505" s="33"/>
      <c r="K505" s="33"/>
      <c r="L505" s="33"/>
      <c r="M505" s="33"/>
      <c r="N505" s="37"/>
      <c r="O505" s="33"/>
      <c r="P505" s="176"/>
      <c r="Q505" s="135"/>
      <c r="R505" s="176"/>
      <c r="S505" s="176"/>
      <c r="T505" s="75"/>
      <c r="U505" s="87"/>
      <c r="V505" s="135"/>
      <c r="W505" s="75"/>
      <c r="X505" s="75"/>
      <c r="Y505" s="33"/>
      <c r="Z505" s="109"/>
    </row>
    <row r="506" spans="1:33" s="22" customFormat="1" ht="15" customHeight="1">
      <c r="A506" s="14" t="s">
        <v>29</v>
      </c>
      <c r="B506" s="149"/>
      <c r="C506" s="149"/>
      <c r="D506" s="149"/>
      <c r="E506" s="150"/>
      <c r="F506" s="149"/>
      <c r="G506" s="149"/>
      <c r="H506" s="149"/>
      <c r="I506" s="149"/>
      <c r="J506" s="149"/>
      <c r="K506" s="149"/>
      <c r="L506" s="149"/>
      <c r="M506" s="149"/>
      <c r="N506" s="150"/>
      <c r="O506" s="149"/>
      <c r="P506" s="150"/>
      <c r="Q506" s="150"/>
      <c r="R506" s="150"/>
      <c r="S506" s="150"/>
      <c r="T506" s="151"/>
      <c r="U506" s="171"/>
      <c r="V506" s="150"/>
      <c r="W506" s="151"/>
      <c r="X506" s="151"/>
      <c r="Y506" s="149"/>
      <c r="Z506" s="146"/>
    </row>
    <row r="507" spans="1:33" s="22" customFormat="1" ht="15" customHeight="1">
      <c r="A507" s="126" t="s">
        <v>34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177"/>
      <c r="Q507" s="136"/>
      <c r="R507" s="177"/>
      <c r="S507" s="177"/>
      <c r="T507" s="74"/>
      <c r="U507" s="74"/>
      <c r="V507" s="136"/>
      <c r="W507" s="74"/>
      <c r="X507" s="224"/>
      <c r="Y507" s="11"/>
      <c r="Z507" s="109"/>
    </row>
    <row r="508" spans="1:33" s="22" customFormat="1" ht="15" customHeight="1">
      <c r="A508" s="7" t="s">
        <v>56</v>
      </c>
      <c r="B508" s="143"/>
      <c r="C508" s="143"/>
      <c r="D508" s="143"/>
      <c r="E508" s="144"/>
      <c r="F508" s="143"/>
      <c r="G508" s="143"/>
      <c r="H508" s="143"/>
      <c r="I508" s="143"/>
      <c r="J508" s="143"/>
      <c r="K508" s="143"/>
      <c r="L508" s="143"/>
      <c r="M508" s="143"/>
      <c r="N508" s="144"/>
      <c r="O508" s="143"/>
      <c r="P508" s="144"/>
      <c r="Q508" s="144"/>
      <c r="R508" s="144"/>
      <c r="S508" s="144"/>
      <c r="T508" s="145"/>
      <c r="U508" s="166"/>
      <c r="V508" s="144"/>
      <c r="W508" s="145"/>
      <c r="X508" s="145"/>
      <c r="Y508" s="143"/>
      <c r="Z508" s="152"/>
      <c r="AE508" s="132"/>
      <c r="AF508" s="132"/>
      <c r="AG508" s="132"/>
    </row>
    <row r="509" spans="1:33" s="22" customFormat="1" ht="15" customHeight="1">
      <c r="A509" s="9" t="s">
        <v>38</v>
      </c>
      <c r="B509" s="149"/>
      <c r="C509" s="149"/>
      <c r="D509" s="149"/>
      <c r="E509" s="150"/>
      <c r="F509" s="149"/>
      <c r="G509" s="149"/>
      <c r="H509" s="149"/>
      <c r="I509" s="149"/>
      <c r="J509" s="149"/>
      <c r="K509" s="149"/>
      <c r="L509" s="149"/>
      <c r="M509" s="149"/>
      <c r="N509" s="150"/>
      <c r="O509" s="149"/>
      <c r="P509" s="150"/>
      <c r="Q509" s="150"/>
      <c r="R509" s="150"/>
      <c r="S509" s="150"/>
      <c r="T509" s="151"/>
      <c r="U509" s="171"/>
      <c r="V509" s="150"/>
      <c r="W509" s="151"/>
      <c r="X509" s="151"/>
      <c r="Y509" s="149"/>
      <c r="Z509" s="152"/>
      <c r="AE509" s="132"/>
      <c r="AF509" s="132"/>
      <c r="AG509" s="132"/>
    </row>
    <row r="510" spans="1:33" s="22" customFormat="1" ht="15" customHeight="1">
      <c r="A510" s="7" t="s">
        <v>51</v>
      </c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177"/>
      <c r="Q510" s="136"/>
      <c r="R510" s="177"/>
      <c r="S510" s="177"/>
      <c r="T510" s="74"/>
      <c r="U510" s="77"/>
      <c r="V510" s="136"/>
      <c r="W510" s="74"/>
      <c r="X510" s="229"/>
      <c r="Y510" s="117"/>
      <c r="Z510" s="140"/>
      <c r="AE510" s="134"/>
      <c r="AF510" s="134"/>
      <c r="AG510" s="134"/>
    </row>
    <row r="511" spans="1:33" ht="15" customHeight="1">
      <c r="A511" s="49">
        <f>+A488+1</f>
        <v>45992</v>
      </c>
      <c r="B511" s="40"/>
      <c r="C511" s="40"/>
      <c r="D511" s="57"/>
      <c r="E511" s="63"/>
      <c r="F511" s="57"/>
      <c r="G511" s="57"/>
      <c r="H511" s="57"/>
      <c r="I511" s="57"/>
      <c r="J511" s="57"/>
      <c r="K511" s="57"/>
      <c r="L511" s="57"/>
      <c r="M511" s="130"/>
      <c r="N511" s="63"/>
      <c r="O511" s="57"/>
      <c r="P511" s="179"/>
      <c r="Q511" s="137"/>
      <c r="R511" s="179"/>
      <c r="S511" s="180"/>
      <c r="T511" s="25"/>
      <c r="U511" s="25"/>
      <c r="V511" s="175"/>
      <c r="W511" s="25"/>
      <c r="X511" s="25"/>
      <c r="Y511" s="174"/>
      <c r="Z511" s="140"/>
      <c r="AE511" s="134"/>
      <c r="AF511" s="134"/>
      <c r="AG511" s="134"/>
    </row>
    <row r="512" spans="1:33" s="22" customFormat="1" ht="15" customHeight="1">
      <c r="A512" s="6" t="s">
        <v>36</v>
      </c>
      <c r="B512" s="33"/>
      <c r="C512" s="33"/>
      <c r="D512" s="33"/>
      <c r="E512" s="37"/>
      <c r="F512" s="33"/>
      <c r="G512" s="33"/>
      <c r="H512" s="33"/>
      <c r="I512" s="33"/>
      <c r="J512" s="33"/>
      <c r="K512" s="33"/>
      <c r="L512" s="33"/>
      <c r="M512" s="33"/>
      <c r="N512" s="37"/>
      <c r="O512" s="33"/>
      <c r="P512" s="176"/>
      <c r="Q512" s="135"/>
      <c r="R512" s="176"/>
      <c r="S512" s="176"/>
      <c r="T512" s="75"/>
      <c r="U512" s="90"/>
      <c r="V512" s="135"/>
      <c r="W512" s="75"/>
      <c r="X512" s="75"/>
      <c r="Y512" s="33"/>
      <c r="Z512" s="140"/>
      <c r="AE512" s="134"/>
      <c r="AF512" s="134"/>
      <c r="AG512" s="134"/>
    </row>
    <row r="513" spans="1:33" s="22" customFormat="1" ht="15" customHeight="1">
      <c r="A513" s="10" t="s">
        <v>52</v>
      </c>
      <c r="B513" s="34"/>
      <c r="C513" s="34"/>
      <c r="D513" s="34"/>
      <c r="E513" s="36"/>
      <c r="F513" s="34"/>
      <c r="G513" s="34"/>
      <c r="H513" s="34"/>
      <c r="I513" s="34"/>
      <c r="J513" s="34"/>
      <c r="K513" s="34"/>
      <c r="L513" s="34"/>
      <c r="M513" s="34"/>
      <c r="N513" s="36"/>
      <c r="O513" s="34"/>
      <c r="P513" s="177"/>
      <c r="Q513" s="136"/>
      <c r="R513" s="177"/>
      <c r="S513" s="177"/>
      <c r="T513" s="74"/>
      <c r="U513" s="92"/>
      <c r="V513" s="136"/>
      <c r="W513" s="74"/>
      <c r="X513" s="74"/>
      <c r="Y513" s="34"/>
      <c r="Z513" s="140"/>
      <c r="AE513" s="134"/>
      <c r="AF513" s="134"/>
      <c r="AG513" s="134"/>
    </row>
    <row r="514" spans="1:33" ht="15" customHeight="1" thickBo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40"/>
      <c r="AE514" s="134"/>
      <c r="AF514" s="134"/>
      <c r="AG514" s="134"/>
    </row>
    <row r="515" spans="1:33" ht="15" customHeight="1" thickBot="1">
      <c r="A515" s="16" t="s">
        <v>22</v>
      </c>
      <c r="B515" s="11"/>
      <c r="C515" s="11"/>
      <c r="D515" s="11"/>
      <c r="E515" s="15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40"/>
      <c r="AE515" s="134"/>
      <c r="AF515" s="134"/>
      <c r="AG515" s="134"/>
    </row>
    <row r="516" spans="1:33" ht="15" customHeight="1">
      <c r="A516" s="1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40"/>
      <c r="AE516" s="134"/>
      <c r="AF516" s="134"/>
      <c r="AG516" s="134"/>
    </row>
    <row r="517" spans="1:33" ht="15" customHeight="1">
      <c r="A517" s="13" t="s">
        <v>23</v>
      </c>
      <c r="B517" s="12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40"/>
      <c r="AE517" s="134"/>
      <c r="AF517" s="134"/>
      <c r="AG517" s="134"/>
    </row>
    <row r="518" spans="1:33" ht="15" customHeight="1">
      <c r="A518" s="19"/>
      <c r="B518" s="12"/>
      <c r="C518" s="11"/>
      <c r="D518" s="11"/>
      <c r="E518" s="11"/>
      <c r="F518" s="11"/>
      <c r="G518" s="11"/>
      <c r="H518" s="181"/>
      <c r="I518" s="18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40"/>
      <c r="AE518" s="134"/>
      <c r="AF518" s="134"/>
      <c r="AG518" s="134"/>
    </row>
    <row r="519" spans="1:33" ht="15" customHeight="1">
      <c r="A519" s="13" t="s">
        <v>12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ht="15" customHeight="1" thickBot="1">
      <c r="A520" s="20">
        <f>+A478+7</f>
        <v>45995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40"/>
      <c r="AE520" s="134"/>
      <c r="AF520" s="134"/>
      <c r="AG520" s="134"/>
    </row>
    <row r="521" spans="1:33" s="22" customFormat="1" ht="15" customHeight="1">
      <c r="A521" s="9" t="s">
        <v>60</v>
      </c>
      <c r="B521" s="143"/>
      <c r="C521" s="142"/>
      <c r="D521" s="143"/>
      <c r="E521" s="144"/>
      <c r="F521" s="143"/>
      <c r="G521" s="143"/>
      <c r="H521" s="143"/>
      <c r="I521" s="143"/>
      <c r="J521" s="143"/>
      <c r="K521" s="143"/>
      <c r="L521" s="143"/>
      <c r="M521" s="143"/>
      <c r="N521" s="144"/>
      <c r="O521" s="143"/>
      <c r="P521" s="144"/>
      <c r="Q521" s="144"/>
      <c r="R521" s="144"/>
      <c r="S521" s="144"/>
      <c r="T521" s="145"/>
      <c r="U521" s="170"/>
      <c r="V521" s="170"/>
      <c r="W521" s="145"/>
      <c r="X521" s="145"/>
      <c r="Y521" s="141"/>
      <c r="Z521" s="152"/>
      <c r="AA521" s="134"/>
      <c r="AB521" s="220" t="s">
        <v>12</v>
      </c>
      <c r="AC521" s="134"/>
      <c r="AD521" s="27"/>
      <c r="AE521" s="132"/>
      <c r="AF521" s="132"/>
      <c r="AG521" s="132"/>
    </row>
    <row r="522" spans="1:33" s="22" customFormat="1" ht="15" customHeight="1">
      <c r="A522" s="7" t="s">
        <v>55</v>
      </c>
      <c r="B522" s="34"/>
      <c r="C522" s="29"/>
      <c r="D522" s="34"/>
      <c r="E522" s="36"/>
      <c r="F522" s="34"/>
      <c r="G522" s="34"/>
      <c r="H522" s="34"/>
      <c r="I522" s="34"/>
      <c r="J522" s="34"/>
      <c r="K522" s="34"/>
      <c r="L522" s="34"/>
      <c r="M522" s="34"/>
      <c r="N522" s="36"/>
      <c r="O522" s="34"/>
      <c r="P522" s="136"/>
      <c r="Q522" s="136"/>
      <c r="R522" s="136"/>
      <c r="S522" s="136"/>
      <c r="T522" s="74"/>
      <c r="U522" s="88"/>
      <c r="V522" s="183"/>
      <c r="W522" s="74"/>
      <c r="X522" s="74"/>
      <c r="Y522" s="31"/>
      <c r="Z522" s="140"/>
      <c r="AA522" s="1"/>
      <c r="AB522" s="218" t="s">
        <v>138</v>
      </c>
      <c r="AC522" s="132"/>
      <c r="AD522" s="27"/>
      <c r="AE522" s="134"/>
      <c r="AF522" s="134"/>
      <c r="AG522" s="134"/>
    </row>
    <row r="523" spans="1:33" ht="15" customHeight="1">
      <c r="A523" s="20">
        <f>+A520+3</f>
        <v>45998</v>
      </c>
      <c r="B523" s="57"/>
      <c r="C523" s="35"/>
      <c r="D523" s="57"/>
      <c r="E523" s="63"/>
      <c r="F523" s="57"/>
      <c r="G523" s="57"/>
      <c r="H523" s="57"/>
      <c r="I523" s="57"/>
      <c r="J523" s="60"/>
      <c r="K523" s="57"/>
      <c r="L523" s="57"/>
      <c r="M523" s="130"/>
      <c r="N523" s="63"/>
      <c r="O523" s="57"/>
      <c r="P523" s="137"/>
      <c r="Q523" s="137"/>
      <c r="R523" s="137"/>
      <c r="S523" s="137"/>
      <c r="T523" s="137"/>
      <c r="U523" s="137"/>
      <c r="V523" s="137"/>
      <c r="W523" s="137"/>
      <c r="X523" s="137"/>
      <c r="Y523" s="93"/>
      <c r="Z523" s="152"/>
      <c r="AB523" s="221" t="s">
        <v>341</v>
      </c>
      <c r="AC523" s="132"/>
      <c r="AD523" s="134"/>
      <c r="AE523" s="134"/>
      <c r="AF523" s="134"/>
      <c r="AG523" s="134"/>
    </row>
    <row r="524" spans="1:33" s="22" customFormat="1" ht="15" customHeight="1">
      <c r="A524" s="6" t="s">
        <v>40</v>
      </c>
      <c r="B524" s="143"/>
      <c r="C524" s="142"/>
      <c r="D524" s="143"/>
      <c r="E524" s="144"/>
      <c r="F524" s="143"/>
      <c r="G524" s="143"/>
      <c r="H524" s="143"/>
      <c r="I524" s="143"/>
      <c r="J524" s="143"/>
      <c r="K524" s="143"/>
      <c r="L524" s="143"/>
      <c r="M524" s="143"/>
      <c r="N524" s="144"/>
      <c r="O524" s="143"/>
      <c r="P524" s="144"/>
      <c r="Q524" s="144"/>
      <c r="R524" s="144"/>
      <c r="S524" s="144"/>
      <c r="T524" s="145"/>
      <c r="U524" s="166"/>
      <c r="V524" s="170"/>
      <c r="W524" s="145"/>
      <c r="X524" s="145"/>
      <c r="Y524" s="141"/>
      <c r="Z524" s="152"/>
      <c r="AB524" s="218" t="s">
        <v>139</v>
      </c>
      <c r="AC524" s="134"/>
      <c r="AD524"/>
      <c r="AE524" s="132"/>
      <c r="AF524" s="132"/>
      <c r="AG524" s="132"/>
    </row>
    <row r="525" spans="1:33" s="22" customFormat="1" ht="15" customHeight="1">
      <c r="A525" s="7" t="s">
        <v>54</v>
      </c>
      <c r="B525" s="34"/>
      <c r="C525" s="29"/>
      <c r="D525" s="34"/>
      <c r="E525" s="36"/>
      <c r="F525" s="34"/>
      <c r="G525" s="34"/>
      <c r="H525" s="34"/>
      <c r="I525" s="34"/>
      <c r="J525" s="34"/>
      <c r="K525" s="34"/>
      <c r="L525" s="34"/>
      <c r="M525" s="34"/>
      <c r="N525" s="36"/>
      <c r="O525" s="34"/>
      <c r="P525" s="136"/>
      <c r="Q525" s="136"/>
      <c r="R525" s="136"/>
      <c r="S525" s="136"/>
      <c r="T525" s="74"/>
      <c r="U525" s="92"/>
      <c r="V525" s="183"/>
      <c r="W525" s="74"/>
      <c r="X525" s="74"/>
      <c r="Y525" s="31"/>
      <c r="Z525" s="109"/>
      <c r="AB525" s="221" t="s">
        <v>342</v>
      </c>
      <c r="AC525" s="132"/>
      <c r="AD525" s="27"/>
    </row>
    <row r="526" spans="1:33" s="22" customFormat="1" ht="15" customHeight="1">
      <c r="A526" s="9" t="s">
        <v>56</v>
      </c>
      <c r="B526" s="143"/>
      <c r="C526" s="142"/>
      <c r="D526" s="143"/>
      <c r="E526" s="144"/>
      <c r="F526" s="143"/>
      <c r="G526" s="143"/>
      <c r="H526" s="143"/>
      <c r="I526" s="143"/>
      <c r="J526" s="143"/>
      <c r="K526" s="143"/>
      <c r="L526" s="143"/>
      <c r="M526" s="143"/>
      <c r="N526" s="144"/>
      <c r="O526" s="143"/>
      <c r="P526" s="144"/>
      <c r="Q526" s="144"/>
      <c r="R526" s="144"/>
      <c r="S526" s="144"/>
      <c r="T526" s="145"/>
      <c r="U526" s="170"/>
      <c r="V526" s="170"/>
      <c r="W526" s="145"/>
      <c r="X526" s="145"/>
      <c r="Y526" s="141"/>
      <c r="Z526" s="146"/>
      <c r="AA526" s="1"/>
      <c r="AB526" s="221" t="s">
        <v>343</v>
      </c>
      <c r="AC526" s="134"/>
      <c r="AD526"/>
    </row>
    <row r="527" spans="1:33" s="22" customFormat="1" ht="15" customHeight="1">
      <c r="A527" s="7" t="s">
        <v>45</v>
      </c>
      <c r="B527" s="34"/>
      <c r="C527" s="29"/>
      <c r="D527" s="34"/>
      <c r="E527" s="36"/>
      <c r="F527" s="34"/>
      <c r="G527" s="34"/>
      <c r="H527" s="34"/>
      <c r="I527" s="34"/>
      <c r="J527" s="34"/>
      <c r="K527" s="34"/>
      <c r="L527" s="34"/>
      <c r="M527" s="34"/>
      <c r="N527" s="36"/>
      <c r="O527" s="34"/>
      <c r="P527" s="136"/>
      <c r="Q527" s="136"/>
      <c r="R527" s="136"/>
      <c r="S527" s="136"/>
      <c r="T527" s="74"/>
      <c r="U527" s="88"/>
      <c r="V527" s="183"/>
      <c r="W527" s="74"/>
      <c r="X527" s="74"/>
      <c r="Y527" s="31"/>
      <c r="Z527" s="109"/>
      <c r="AA527" s="146"/>
      <c r="AB527" s="221" t="s">
        <v>344</v>
      </c>
      <c r="AC527" s="134"/>
      <c r="AD527"/>
    </row>
    <row r="528" spans="1:33" s="22" customFormat="1" ht="15" customHeight="1">
      <c r="A528" s="9" t="s">
        <v>33</v>
      </c>
      <c r="B528" s="33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7"/>
      <c r="O528" s="33"/>
      <c r="P528" s="135"/>
      <c r="Q528" s="135"/>
      <c r="R528" s="135"/>
      <c r="S528" s="135"/>
      <c r="T528" s="75"/>
      <c r="U528" s="90"/>
      <c r="V528" s="182"/>
      <c r="W528" s="75"/>
      <c r="X528" s="75"/>
      <c r="Y528" s="30"/>
      <c r="Z528" s="109"/>
      <c r="AA528" s="109"/>
      <c r="AB528" s="221" t="s">
        <v>345</v>
      </c>
      <c r="AC528" s="132"/>
      <c r="AD528" s="132"/>
    </row>
    <row r="529" spans="1:32" s="22" customFormat="1" ht="15" customHeight="1">
      <c r="A529" s="7" t="s">
        <v>47</v>
      </c>
      <c r="B529" s="149"/>
      <c r="C529" s="148"/>
      <c r="D529" s="149"/>
      <c r="E529" s="150"/>
      <c r="F529" s="149"/>
      <c r="G529" s="149"/>
      <c r="H529" s="149"/>
      <c r="I529" s="149"/>
      <c r="J529" s="149"/>
      <c r="K529" s="149"/>
      <c r="L529" s="149"/>
      <c r="M529" s="149"/>
      <c r="N529" s="150"/>
      <c r="O529" s="149"/>
      <c r="P529" s="150"/>
      <c r="Q529" s="150"/>
      <c r="R529" s="150"/>
      <c r="S529" s="150"/>
      <c r="T529" s="151"/>
      <c r="U529" s="164"/>
      <c r="V529" s="171"/>
      <c r="W529" s="151"/>
      <c r="X529" s="151"/>
      <c r="Y529" s="147"/>
      <c r="Z529" s="146"/>
      <c r="AA529" s="146"/>
      <c r="AB529" s="221" t="s">
        <v>346</v>
      </c>
      <c r="AC529" s="134"/>
      <c r="AD529"/>
    </row>
    <row r="530" spans="1:32" s="22" customFormat="1" ht="15" customHeight="1">
      <c r="A530" s="9" t="s">
        <v>58</v>
      </c>
      <c r="B530" s="143"/>
      <c r="C530" s="142"/>
      <c r="D530" s="143"/>
      <c r="E530" s="144"/>
      <c r="F530" s="143"/>
      <c r="G530" s="143"/>
      <c r="H530" s="143"/>
      <c r="I530" s="143"/>
      <c r="J530" s="143"/>
      <c r="K530" s="143"/>
      <c r="L530" s="143"/>
      <c r="M530" s="143"/>
      <c r="N530" s="144"/>
      <c r="O530" s="143"/>
      <c r="P530" s="144"/>
      <c r="Q530" s="144"/>
      <c r="R530" s="144"/>
      <c r="S530" s="144"/>
      <c r="T530" s="145"/>
      <c r="U530" s="170"/>
      <c r="V530" s="170"/>
      <c r="W530" s="145"/>
      <c r="X530" s="145"/>
      <c r="Y530" s="141"/>
      <c r="Z530" s="146"/>
      <c r="AA530" s="109"/>
      <c r="AB530" s="221" t="s">
        <v>347</v>
      </c>
      <c r="AC530" s="134"/>
      <c r="AD530" s="134"/>
    </row>
    <row r="531" spans="1:32" s="22" customFormat="1" ht="15" customHeight="1">
      <c r="A531" s="7" t="s">
        <v>37</v>
      </c>
      <c r="B531" s="34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6"/>
      <c r="O531" s="34"/>
      <c r="P531" s="136"/>
      <c r="Q531" s="136"/>
      <c r="R531" s="136"/>
      <c r="S531" s="136"/>
      <c r="T531" s="74"/>
      <c r="U531" s="88"/>
      <c r="V531" s="183"/>
      <c r="W531" s="74"/>
      <c r="X531" s="74"/>
      <c r="Y531" s="31"/>
      <c r="Z531" s="109"/>
      <c r="AA531" s="146"/>
      <c r="AB531" s="221" t="s">
        <v>348</v>
      </c>
      <c r="AC531" s="132"/>
      <c r="AD531" s="134"/>
    </row>
    <row r="532" spans="1:32" s="22" customFormat="1" ht="15" customHeight="1">
      <c r="A532" s="9" t="s">
        <v>49</v>
      </c>
      <c r="B532" s="143"/>
      <c r="C532" s="142"/>
      <c r="D532" s="143"/>
      <c r="E532" s="144"/>
      <c r="F532" s="143"/>
      <c r="G532" s="143"/>
      <c r="H532" s="143"/>
      <c r="I532" s="173"/>
      <c r="J532" s="184"/>
      <c r="K532" s="143"/>
      <c r="L532" s="143"/>
      <c r="M532" s="143"/>
      <c r="N532" s="144"/>
      <c r="O532" s="143"/>
      <c r="P532" s="144"/>
      <c r="Q532" s="144"/>
      <c r="R532" s="144"/>
      <c r="S532" s="144"/>
      <c r="T532" s="145"/>
      <c r="U532" s="166"/>
      <c r="V532" s="170"/>
      <c r="W532" s="145"/>
      <c r="X532" s="145"/>
      <c r="Y532" s="141"/>
      <c r="Z532" s="146"/>
      <c r="AA532" s="109"/>
      <c r="AB532" s="221" t="s">
        <v>349</v>
      </c>
      <c r="AC532" s="134"/>
      <c r="AD532" s="134"/>
    </row>
    <row r="533" spans="1:32" s="22" customFormat="1" ht="15" customHeight="1">
      <c r="A533" s="7" t="s">
        <v>39</v>
      </c>
      <c r="B533" s="34"/>
      <c r="C533" s="29"/>
      <c r="D533" s="34"/>
      <c r="E533" s="36"/>
      <c r="F533" s="34"/>
      <c r="G533" s="34"/>
      <c r="H533" s="34"/>
      <c r="I533" s="34"/>
      <c r="J533" s="33"/>
      <c r="K533" s="34"/>
      <c r="L533" s="34"/>
      <c r="M533" s="34"/>
      <c r="N533" s="36"/>
      <c r="O533" s="34"/>
      <c r="P533" s="136"/>
      <c r="Q533" s="136"/>
      <c r="R533" s="136"/>
      <c r="S533" s="136"/>
      <c r="T533" s="74"/>
      <c r="U533" s="92"/>
      <c r="V533" s="183"/>
      <c r="W533" s="74"/>
      <c r="X533" s="74"/>
      <c r="Y533" s="31"/>
      <c r="Z533" s="109"/>
      <c r="AA533" s="109"/>
      <c r="AB533" s="221" t="s">
        <v>350</v>
      </c>
      <c r="AC533" s="134"/>
      <c r="AD533" s="1"/>
    </row>
    <row r="534" spans="1:32" s="22" customFormat="1" ht="15" customHeight="1">
      <c r="A534" s="9" t="s">
        <v>51</v>
      </c>
      <c r="B534" s="143"/>
      <c r="C534" s="142"/>
      <c r="D534" s="143"/>
      <c r="E534" s="144"/>
      <c r="F534" s="143"/>
      <c r="G534" s="143"/>
      <c r="H534" s="143"/>
      <c r="I534" s="143"/>
      <c r="J534" s="143"/>
      <c r="K534" s="143"/>
      <c r="L534" s="143"/>
      <c r="M534" s="143"/>
      <c r="N534" s="144"/>
      <c r="O534" s="143"/>
      <c r="P534" s="144"/>
      <c r="Q534" s="144"/>
      <c r="R534" s="144"/>
      <c r="S534" s="144"/>
      <c r="T534" s="145"/>
      <c r="U534" s="170"/>
      <c r="V534" s="170"/>
      <c r="W534" s="145"/>
      <c r="X534" s="145"/>
      <c r="Y534" s="141"/>
      <c r="Z534" s="146"/>
      <c r="AA534" s="146"/>
      <c r="AB534" s="221" t="s">
        <v>351</v>
      </c>
      <c r="AD534" s="1"/>
    </row>
    <row r="535" spans="1:32" s="22" customFormat="1" ht="15" customHeight="1">
      <c r="A535" s="7" t="s">
        <v>31</v>
      </c>
      <c r="B535" s="34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6"/>
      <c r="O535" s="34"/>
      <c r="P535" s="136"/>
      <c r="Q535" s="136"/>
      <c r="R535" s="136"/>
      <c r="S535" s="136"/>
      <c r="T535" s="74"/>
      <c r="U535" s="88"/>
      <c r="V535" s="183"/>
      <c r="W535" s="74"/>
      <c r="X535" s="74"/>
      <c r="Y535" s="31"/>
      <c r="Z535" s="109"/>
      <c r="AA535" s="109"/>
      <c r="AB535" s="221" t="s">
        <v>352</v>
      </c>
      <c r="AD535" s="1"/>
    </row>
    <row r="536" spans="1:32" s="22" customFormat="1" ht="15" customHeight="1">
      <c r="A536" s="9" t="s">
        <v>53</v>
      </c>
      <c r="B536" s="33"/>
      <c r="C536" s="28"/>
      <c r="D536" s="33"/>
      <c r="E536" s="37"/>
      <c r="F536" s="33"/>
      <c r="G536" s="33"/>
      <c r="H536" s="33"/>
      <c r="I536" s="33"/>
      <c r="J536" s="33"/>
      <c r="K536" s="33"/>
      <c r="L536" s="33"/>
      <c r="M536" s="33"/>
      <c r="N536" s="37"/>
      <c r="O536" s="33"/>
      <c r="P536" s="135"/>
      <c r="Q536" s="135"/>
      <c r="R536" s="135"/>
      <c r="S536" s="135"/>
      <c r="T536" s="75"/>
      <c r="U536" s="90"/>
      <c r="V536" s="182"/>
      <c r="W536" s="75"/>
      <c r="X536" s="75"/>
      <c r="Y536" s="30"/>
      <c r="Z536" s="109"/>
      <c r="AA536" s="146"/>
      <c r="AB536" s="221" t="s">
        <v>353</v>
      </c>
      <c r="AC536" s="1"/>
    </row>
    <row r="537" spans="1:32" s="22" customFormat="1" ht="15" customHeight="1">
      <c r="A537" s="7" t="s">
        <v>46</v>
      </c>
      <c r="B537" s="149"/>
      <c r="C537" s="148"/>
      <c r="D537" s="149"/>
      <c r="E537" s="150"/>
      <c r="F537" s="149"/>
      <c r="G537" s="149"/>
      <c r="H537" s="149"/>
      <c r="I537" s="149"/>
      <c r="J537" s="149"/>
      <c r="K537" s="149"/>
      <c r="L537" s="149"/>
      <c r="M537" s="149"/>
      <c r="N537" s="150"/>
      <c r="O537" s="149"/>
      <c r="P537" s="150"/>
      <c r="Q537" s="150"/>
      <c r="R537" s="150"/>
      <c r="S537" s="150"/>
      <c r="T537" s="151"/>
      <c r="U537" s="164"/>
      <c r="V537" s="171"/>
      <c r="W537" s="151"/>
      <c r="X537" s="151"/>
      <c r="Y537" s="147"/>
      <c r="Z537" s="146"/>
      <c r="AA537" s="146"/>
      <c r="AB537" s="218" t="s">
        <v>140</v>
      </c>
      <c r="AD537" s="1"/>
    </row>
    <row r="538" spans="1:32" ht="15" customHeight="1">
      <c r="A538" s="9" t="s">
        <v>35</v>
      </c>
      <c r="B538" s="33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7"/>
      <c r="O538" s="33"/>
      <c r="P538" s="135"/>
      <c r="Q538" s="135"/>
      <c r="R538" s="135"/>
      <c r="S538" s="135"/>
      <c r="T538" s="75"/>
      <c r="U538" s="87"/>
      <c r="V538" s="182"/>
      <c r="W538" s="75"/>
      <c r="X538" s="75"/>
      <c r="Y538" s="30"/>
      <c r="AA538" s="109"/>
      <c r="AB538" s="221" t="s">
        <v>354</v>
      </c>
      <c r="AC538" s="22"/>
      <c r="AD538" s="22"/>
    </row>
    <row r="539" spans="1:32" s="22" customFormat="1" ht="15" customHeight="1">
      <c r="A539" s="7" t="s">
        <v>41</v>
      </c>
      <c r="B539" s="149"/>
      <c r="C539" s="148"/>
      <c r="D539" s="149"/>
      <c r="E539" s="150"/>
      <c r="F539" s="149"/>
      <c r="G539" s="149"/>
      <c r="H539" s="149"/>
      <c r="I539" s="149"/>
      <c r="J539" s="149"/>
      <c r="K539" s="149"/>
      <c r="L539" s="149"/>
      <c r="M539" s="149"/>
      <c r="N539" s="150"/>
      <c r="O539" s="149"/>
      <c r="P539" s="150"/>
      <c r="Q539" s="150"/>
      <c r="R539" s="150"/>
      <c r="S539" s="150"/>
      <c r="T539" s="151"/>
      <c r="U539" s="171"/>
      <c r="V539" s="171"/>
      <c r="W539" s="151"/>
      <c r="X539" s="151"/>
      <c r="Y539" s="147"/>
      <c r="Z539" s="152"/>
      <c r="AA539" s="109"/>
      <c r="AB539" s="218" t="s">
        <v>355</v>
      </c>
      <c r="AE539" s="132"/>
      <c r="AF539" s="132"/>
    </row>
    <row r="540" spans="1:32" s="22" customFormat="1" ht="15" customHeight="1">
      <c r="A540" s="9" t="s">
        <v>38</v>
      </c>
      <c r="B540" s="143"/>
      <c r="C540" s="142"/>
      <c r="D540" s="143"/>
      <c r="E540" s="144"/>
      <c r="F540" s="143"/>
      <c r="G540" s="143"/>
      <c r="H540" s="143"/>
      <c r="I540" s="143"/>
      <c r="J540" s="143"/>
      <c r="K540" s="143"/>
      <c r="L540" s="143"/>
      <c r="M540" s="143"/>
      <c r="N540" s="144"/>
      <c r="O540" s="143"/>
      <c r="P540" s="144"/>
      <c r="Q540" s="144"/>
      <c r="R540" s="144"/>
      <c r="S540" s="144"/>
      <c r="T540" s="145"/>
      <c r="U540" s="166"/>
      <c r="V540" s="170"/>
      <c r="W540" s="145"/>
      <c r="X540" s="145"/>
      <c r="Y540" s="141"/>
      <c r="Z540" s="152"/>
      <c r="AE540" s="132"/>
      <c r="AF540" s="132"/>
    </row>
    <row r="541" spans="1:32" s="22" customFormat="1" ht="15" customHeight="1">
      <c r="A541" s="7" t="s">
        <v>59</v>
      </c>
      <c r="B541" s="34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6"/>
      <c r="O541" s="34"/>
      <c r="P541" s="136"/>
      <c r="Q541" s="136"/>
      <c r="R541" s="136"/>
      <c r="S541" s="136"/>
      <c r="T541" s="74"/>
      <c r="U541" s="92"/>
      <c r="V541" s="183"/>
      <c r="W541" s="74"/>
      <c r="X541" s="74"/>
      <c r="Y541" s="31"/>
      <c r="Z541" s="140"/>
      <c r="AE541" s="134"/>
      <c r="AF541" s="134"/>
    </row>
    <row r="542" spans="1:32" s="22" customFormat="1" ht="15" customHeight="1">
      <c r="A542" s="9" t="s">
        <v>44</v>
      </c>
      <c r="B542" s="143"/>
      <c r="C542" s="142"/>
      <c r="D542" s="143"/>
      <c r="E542" s="144"/>
      <c r="F542" s="143"/>
      <c r="G542" s="143"/>
      <c r="H542" s="143"/>
      <c r="I542" s="143"/>
      <c r="J542" s="143"/>
      <c r="K542" s="143"/>
      <c r="L542" s="143"/>
      <c r="M542" s="143"/>
      <c r="N542" s="144"/>
      <c r="O542" s="143"/>
      <c r="P542" s="144"/>
      <c r="Q542" s="144"/>
      <c r="R542" s="144"/>
      <c r="S542" s="144"/>
      <c r="T542" s="145"/>
      <c r="U542" s="170"/>
      <c r="V542" s="170"/>
      <c r="W542" s="145"/>
      <c r="X542" s="145"/>
      <c r="Y542" s="141"/>
      <c r="Z542" s="152"/>
      <c r="AE542" s="132"/>
      <c r="AF542" s="132"/>
    </row>
    <row r="543" spans="1:32" s="22" customFormat="1" ht="15" customHeight="1">
      <c r="A543" s="7" t="s">
        <v>43</v>
      </c>
      <c r="B543" s="34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6"/>
      <c r="O543" s="34"/>
      <c r="P543" s="136"/>
      <c r="Q543" s="136"/>
      <c r="R543" s="136"/>
      <c r="S543" s="136"/>
      <c r="T543" s="74"/>
      <c r="U543" s="88"/>
      <c r="V543" s="183"/>
      <c r="W543" s="74"/>
      <c r="X543" s="74"/>
      <c r="Y543" s="31"/>
      <c r="Z543" s="140"/>
      <c r="AE543" s="134"/>
      <c r="AF543" s="134"/>
    </row>
    <row r="544" spans="1:32" s="22" customFormat="1" ht="15" customHeight="1">
      <c r="A544" s="9" t="s">
        <v>57</v>
      </c>
      <c r="B544" s="149"/>
      <c r="C544" s="148"/>
      <c r="D544" s="149"/>
      <c r="E544" s="150"/>
      <c r="F544" s="149"/>
      <c r="G544" s="149"/>
      <c r="H544" s="149"/>
      <c r="I544" s="149"/>
      <c r="J544" s="149"/>
      <c r="K544" s="149"/>
      <c r="L544" s="149"/>
      <c r="M544" s="149"/>
      <c r="N544" s="150"/>
      <c r="O544" s="149"/>
      <c r="P544" s="150"/>
      <c r="Q544" s="150"/>
      <c r="R544" s="150"/>
      <c r="S544" s="150"/>
      <c r="T544" s="151"/>
      <c r="U544" s="164"/>
      <c r="V544" s="171"/>
      <c r="W544" s="151"/>
      <c r="X544" s="151"/>
      <c r="Y544" s="147"/>
      <c r="Z544" s="152"/>
      <c r="AE544" s="132"/>
      <c r="AF544" s="132"/>
    </row>
    <row r="545" spans="1:32" s="22" customFormat="1" ht="15" customHeight="1">
      <c r="A545" s="7" t="s">
        <v>34</v>
      </c>
      <c r="B545" s="34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6"/>
      <c r="O545" s="34"/>
      <c r="P545" s="136"/>
      <c r="Q545" s="136"/>
      <c r="R545" s="136"/>
      <c r="S545" s="136"/>
      <c r="T545" s="74"/>
      <c r="U545" s="92"/>
      <c r="V545" s="183"/>
      <c r="W545" s="74"/>
      <c r="X545" s="74"/>
      <c r="Y545" s="31"/>
      <c r="Z545" s="140"/>
      <c r="AE545" s="134"/>
      <c r="AF545" s="134"/>
    </row>
    <row r="546" spans="1:32" s="22" customFormat="1" ht="15" customHeight="1">
      <c r="A546" s="9" t="s">
        <v>50</v>
      </c>
      <c r="B546" s="11"/>
      <c r="C546" s="11"/>
      <c r="D546" s="11"/>
      <c r="E546" s="11"/>
      <c r="F546" s="11"/>
      <c r="G546" s="11"/>
      <c r="H546" s="11"/>
      <c r="I546" s="11"/>
      <c r="J546" s="38"/>
      <c r="K546" s="11"/>
      <c r="L546" s="11"/>
      <c r="M546" s="11"/>
      <c r="N546" s="11"/>
      <c r="O546" s="11"/>
      <c r="P546" s="223"/>
      <c r="Q546" s="223"/>
      <c r="R546" s="223"/>
      <c r="S546" s="223"/>
      <c r="T546" s="224"/>
      <c r="U546" s="224"/>
      <c r="V546" s="225"/>
      <c r="W546" s="224"/>
      <c r="X546" s="224"/>
      <c r="Y546" s="226"/>
      <c r="Z546" s="140"/>
      <c r="AE546" s="134"/>
      <c r="AF546" s="134"/>
    </row>
    <row r="547" spans="1:32" s="22" customFormat="1" ht="15" customHeight="1">
      <c r="A547" s="7" t="s">
        <v>30</v>
      </c>
      <c r="B547" s="11"/>
      <c r="C547" s="11"/>
      <c r="D547" s="11"/>
      <c r="E547" s="11"/>
      <c r="F547" s="11"/>
      <c r="G547" s="11"/>
      <c r="H547" s="11"/>
      <c r="I547" s="11"/>
      <c r="J547" s="38"/>
      <c r="K547" s="11"/>
      <c r="L547" s="11"/>
      <c r="M547" s="11"/>
      <c r="N547" s="11"/>
      <c r="O547" s="11"/>
      <c r="P547" s="223"/>
      <c r="Q547" s="223"/>
      <c r="R547" s="223"/>
      <c r="S547" s="223"/>
      <c r="T547" s="224"/>
      <c r="U547" s="224"/>
      <c r="V547" s="225"/>
      <c r="W547" s="224"/>
      <c r="X547" s="224"/>
      <c r="Y547" s="226"/>
      <c r="Z547" s="140"/>
      <c r="AE547" s="134"/>
      <c r="AF547" s="134"/>
    </row>
    <row r="548" spans="1:32" ht="15" customHeight="1">
      <c r="A548" s="49">
        <f>+A523+1</f>
        <v>45999</v>
      </c>
      <c r="B548" s="57"/>
      <c r="C548" s="35"/>
      <c r="D548" s="57"/>
      <c r="E548" s="63"/>
      <c r="F548" s="57"/>
      <c r="G548" s="57"/>
      <c r="H548" s="57"/>
      <c r="I548" s="57"/>
      <c r="J548" s="60"/>
      <c r="K548" s="57"/>
      <c r="L548" s="57"/>
      <c r="M548" s="130"/>
      <c r="N548" s="63"/>
      <c r="O548" s="57"/>
      <c r="P548" s="137"/>
      <c r="Q548" s="137"/>
      <c r="R548" s="137"/>
      <c r="S548" s="137"/>
      <c r="T548" s="137"/>
      <c r="U548" s="137"/>
      <c r="V548" s="137"/>
      <c r="W548" s="137"/>
      <c r="X548" s="137"/>
      <c r="Y548" s="93"/>
      <c r="Z548" s="140"/>
      <c r="AE548" s="134"/>
      <c r="AF548" s="134"/>
    </row>
    <row r="549" spans="1:32" s="22" customFormat="1" ht="15" customHeight="1">
      <c r="A549" s="9" t="s">
        <v>32</v>
      </c>
      <c r="B549" s="33"/>
      <c r="C549" s="28"/>
      <c r="D549" s="33"/>
      <c r="E549" s="37"/>
      <c r="F549" s="33"/>
      <c r="G549" s="33"/>
      <c r="H549" s="33"/>
      <c r="I549" s="33"/>
      <c r="J549" s="33"/>
      <c r="K549" s="33"/>
      <c r="L549" s="33"/>
      <c r="M549" s="33"/>
      <c r="N549" s="37"/>
      <c r="O549" s="33"/>
      <c r="P549" s="135"/>
      <c r="Q549" s="135"/>
      <c r="R549" s="135"/>
      <c r="S549" s="135"/>
      <c r="T549" s="75"/>
      <c r="U549" s="87"/>
      <c r="V549" s="182"/>
      <c r="W549" s="75"/>
      <c r="X549" s="75"/>
      <c r="Y549" s="30"/>
      <c r="Z549" s="140"/>
      <c r="AE549" s="134"/>
      <c r="AF549" s="134"/>
    </row>
    <row r="550" spans="1:32" s="22" customFormat="1" ht="15" customHeight="1">
      <c r="A550" s="10" t="s">
        <v>29</v>
      </c>
      <c r="B550" s="149"/>
      <c r="C550" s="148"/>
      <c r="D550" s="149"/>
      <c r="E550" s="150"/>
      <c r="F550" s="149"/>
      <c r="G550" s="149"/>
      <c r="H550" s="149"/>
      <c r="I550" s="149"/>
      <c r="J550" s="149"/>
      <c r="K550" s="149"/>
      <c r="L550" s="149"/>
      <c r="M550" s="149"/>
      <c r="N550" s="150"/>
      <c r="O550" s="149"/>
      <c r="P550" s="150"/>
      <c r="Q550" s="150"/>
      <c r="R550" s="150"/>
      <c r="S550" s="150"/>
      <c r="T550" s="151"/>
      <c r="U550" s="171"/>
      <c r="V550" s="171"/>
      <c r="W550" s="151"/>
      <c r="X550" s="151"/>
      <c r="Y550" s="147"/>
      <c r="Z550" s="152"/>
      <c r="AE550" s="132"/>
      <c r="AF550" s="132"/>
    </row>
    <row r="551" spans="1:32" ht="1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96"/>
      <c r="O551" s="18"/>
      <c r="P551" s="18"/>
      <c r="Q551" s="96"/>
      <c r="R551" s="96"/>
      <c r="S551" s="18"/>
      <c r="T551" s="18"/>
      <c r="U551" s="18"/>
      <c r="V551" s="18"/>
      <c r="W551" s="18"/>
      <c r="X551" s="18"/>
      <c r="Y551" s="18"/>
      <c r="Z551" s="140"/>
      <c r="AE551" s="134"/>
      <c r="AF551" s="134"/>
    </row>
    <row r="552" spans="1:32" ht="15" customHeight="1">
      <c r="A552" s="16" t="s">
        <v>22</v>
      </c>
      <c r="B552" s="18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40"/>
      <c r="AE552" s="134"/>
      <c r="AF552" s="134"/>
    </row>
    <row r="553" spans="1:32" ht="15" customHeight="1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40"/>
      <c r="AE553" s="134"/>
      <c r="AF553" s="134"/>
    </row>
    <row r="554" spans="1:32" ht="15" customHeight="1">
      <c r="A554" s="13" t="s">
        <v>23</v>
      </c>
      <c r="B554" s="1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32" ht="15" customHeight="1">
      <c r="A555" s="13"/>
      <c r="B555" s="18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32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ht="15" customHeight="1" thickBot="1">
      <c r="A557" s="20">
        <f>+A520+7</f>
        <v>46002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32" s="22" customFormat="1" ht="15" customHeight="1">
      <c r="A558" s="42" t="s">
        <v>54</v>
      </c>
      <c r="B558" s="30"/>
      <c r="C558" s="28"/>
      <c r="D558" s="33"/>
      <c r="E558" s="37"/>
      <c r="F558" s="33"/>
      <c r="G558" s="33"/>
      <c r="H558" s="33"/>
      <c r="I558" s="33"/>
      <c r="J558" s="33"/>
      <c r="K558" s="33"/>
      <c r="L558" s="33"/>
      <c r="M558" s="33"/>
      <c r="N558" s="37"/>
      <c r="O558" s="33"/>
      <c r="P558" s="185"/>
      <c r="Q558" s="185"/>
      <c r="R558" s="185"/>
      <c r="S558" s="185"/>
      <c r="T558" s="90"/>
      <c r="U558" s="90"/>
      <c r="V558" s="189"/>
      <c r="W558" s="75"/>
      <c r="X558" s="75"/>
      <c r="Y558" s="33"/>
      <c r="AA558" s="146"/>
      <c r="AB558" s="220" t="s">
        <v>13</v>
      </c>
      <c r="AC558" s="1"/>
    </row>
    <row r="559" spans="1:32" s="22" customFormat="1" ht="15" customHeight="1">
      <c r="A559" s="7" t="s">
        <v>41</v>
      </c>
      <c r="B559" s="147"/>
      <c r="C559" s="148"/>
      <c r="D559" s="149"/>
      <c r="E559" s="150"/>
      <c r="F559" s="149"/>
      <c r="G559" s="149"/>
      <c r="H559" s="149"/>
      <c r="I559" s="149"/>
      <c r="J559" s="149"/>
      <c r="K559" s="149"/>
      <c r="L559" s="149"/>
      <c r="M559" s="149"/>
      <c r="N559" s="150"/>
      <c r="O559" s="149"/>
      <c r="P559" s="193"/>
      <c r="Q559" s="193"/>
      <c r="R559" s="193"/>
      <c r="S559" s="193"/>
      <c r="T559" s="164"/>
      <c r="U559" s="164"/>
      <c r="V559" s="194"/>
      <c r="W559" s="151"/>
      <c r="X559" s="151"/>
      <c r="Y559" s="149"/>
      <c r="AA559" s="146"/>
      <c r="AB559" s="218" t="s">
        <v>141</v>
      </c>
      <c r="AC559" s="1"/>
    </row>
    <row r="560" spans="1:32" s="22" customFormat="1" ht="15" customHeight="1">
      <c r="A560" s="20">
        <f>+A557+3</f>
        <v>46005</v>
      </c>
      <c r="B560" s="25"/>
      <c r="C560" s="95"/>
      <c r="D560" s="97"/>
      <c r="E560" s="98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187"/>
      <c r="Q560" s="187"/>
      <c r="R560" s="187"/>
      <c r="S560" s="187"/>
      <c r="T560" s="188"/>
      <c r="U560" s="188"/>
      <c r="V560" s="188"/>
      <c r="W560" s="188"/>
      <c r="X560" s="188"/>
      <c r="Y560" s="191"/>
      <c r="AA560" s="109"/>
      <c r="AB560" s="221" t="s">
        <v>356</v>
      </c>
      <c r="AC560" s="1"/>
    </row>
    <row r="561" spans="1:30" s="22" customFormat="1" ht="15" customHeight="1">
      <c r="A561" s="9" t="s">
        <v>47</v>
      </c>
      <c r="B561" s="28"/>
      <c r="C561" s="29"/>
      <c r="D561" s="34"/>
      <c r="E561" s="36"/>
      <c r="F561" s="34"/>
      <c r="G561" s="34"/>
      <c r="H561" s="34"/>
      <c r="I561" s="34"/>
      <c r="J561" s="34"/>
      <c r="K561" s="34"/>
      <c r="L561" s="34"/>
      <c r="M561" s="34"/>
      <c r="N561" s="36"/>
      <c r="O561" s="34"/>
      <c r="P561" s="186"/>
      <c r="Q561" s="186"/>
      <c r="R561" s="186"/>
      <c r="S561" s="186"/>
      <c r="T561" s="92"/>
      <c r="U561" s="92"/>
      <c r="V561" s="190"/>
      <c r="W561" s="74"/>
      <c r="X561" s="74"/>
      <c r="Y561" s="34"/>
      <c r="AB561" s="218" t="s">
        <v>142</v>
      </c>
    </row>
    <row r="562" spans="1:30" s="22" customFormat="1" ht="15" customHeight="1">
      <c r="A562" s="7" t="s">
        <v>58</v>
      </c>
      <c r="B562" s="148"/>
      <c r="C562" s="148"/>
      <c r="D562" s="149"/>
      <c r="E562" s="150"/>
      <c r="F562" s="149"/>
      <c r="G562" s="149"/>
      <c r="H562" s="149"/>
      <c r="I562" s="149"/>
      <c r="J562" s="149"/>
      <c r="K562" s="149"/>
      <c r="L562" s="149"/>
      <c r="M562" s="149"/>
      <c r="N562" s="150"/>
      <c r="O562" s="149"/>
      <c r="P562" s="193"/>
      <c r="Q562" s="193"/>
      <c r="R562" s="193"/>
      <c r="S562" s="193"/>
      <c r="T562" s="164"/>
      <c r="U562" s="164"/>
      <c r="V562" s="194"/>
      <c r="W562" s="151"/>
      <c r="X562" s="151"/>
      <c r="Y562" s="149"/>
      <c r="AB562" s="221" t="s">
        <v>357</v>
      </c>
      <c r="AC562" s="1"/>
    </row>
    <row r="563" spans="1:30" s="22" customFormat="1" ht="15" customHeight="1">
      <c r="A563" s="9" t="s">
        <v>45</v>
      </c>
      <c r="B563" s="30"/>
      <c r="C563" s="29"/>
      <c r="D563" s="34"/>
      <c r="E563" s="36"/>
      <c r="F563" s="34"/>
      <c r="G563" s="34"/>
      <c r="H563" s="34"/>
      <c r="I563" s="34"/>
      <c r="J563" s="34"/>
      <c r="K563" s="34"/>
      <c r="L563" s="34"/>
      <c r="M563" s="34"/>
      <c r="N563" s="36"/>
      <c r="O563" s="34"/>
      <c r="P563" s="186"/>
      <c r="Q563" s="186"/>
      <c r="R563" s="186"/>
      <c r="S563" s="186"/>
      <c r="T563" s="92"/>
      <c r="U563" s="92"/>
      <c r="V563" s="190"/>
      <c r="W563" s="74"/>
      <c r="X563" s="74"/>
      <c r="Y563" s="34"/>
      <c r="Z563" s="128"/>
      <c r="AA563"/>
      <c r="AB563" s="221" t="s">
        <v>358</v>
      </c>
    </row>
    <row r="564" spans="1:30" s="22" customFormat="1" ht="15" customHeight="1">
      <c r="A564" s="7" t="s">
        <v>57</v>
      </c>
      <c r="B564" s="147"/>
      <c r="C564" s="148"/>
      <c r="D564" s="149"/>
      <c r="E564" s="150"/>
      <c r="F564" s="149"/>
      <c r="G564" s="149"/>
      <c r="H564" s="149"/>
      <c r="I564" s="149"/>
      <c r="J564" s="149"/>
      <c r="K564" s="149"/>
      <c r="L564" s="149"/>
      <c r="M564" s="149"/>
      <c r="N564" s="150"/>
      <c r="O564" s="149"/>
      <c r="P564" s="193"/>
      <c r="Q564" s="193"/>
      <c r="R564" s="193"/>
      <c r="S564" s="193"/>
      <c r="T564" s="164"/>
      <c r="U564" s="164"/>
      <c r="V564" s="194"/>
      <c r="W564" s="151"/>
      <c r="X564" s="151"/>
      <c r="Y564" s="149"/>
      <c r="Z564" s="146"/>
      <c r="AA564" s="27"/>
      <c r="AB564" s="221" t="s">
        <v>359</v>
      </c>
    </row>
    <row r="565" spans="1:30" s="22" customFormat="1" ht="15" customHeight="1">
      <c r="A565" s="9" t="s">
        <v>43</v>
      </c>
      <c r="B565" s="141"/>
      <c r="C565" s="148"/>
      <c r="D565" s="149"/>
      <c r="E565" s="150"/>
      <c r="F565" s="149"/>
      <c r="G565" s="149"/>
      <c r="H565" s="149"/>
      <c r="I565" s="149"/>
      <c r="J565" s="149"/>
      <c r="K565" s="149"/>
      <c r="L565" s="149"/>
      <c r="M565" s="149"/>
      <c r="N565" s="150"/>
      <c r="O565" s="149"/>
      <c r="P565" s="193"/>
      <c r="Q565" s="193"/>
      <c r="R565" s="193"/>
      <c r="S565" s="193"/>
      <c r="T565" s="164"/>
      <c r="U565" s="164"/>
      <c r="V565" s="194"/>
      <c r="W565" s="151"/>
      <c r="X565" s="151"/>
      <c r="Y565" s="149"/>
      <c r="Z565" s="146"/>
      <c r="AA565"/>
      <c r="AB565" s="221" t="s">
        <v>360</v>
      </c>
    </row>
    <row r="566" spans="1:30" s="22" customFormat="1" ht="15" customHeight="1">
      <c r="A566" s="7" t="s">
        <v>50</v>
      </c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6"/>
      <c r="O566" s="34"/>
      <c r="P566" s="186"/>
      <c r="Q566" s="186"/>
      <c r="R566" s="186"/>
      <c r="S566" s="186"/>
      <c r="T566" s="92"/>
      <c r="U566" s="92"/>
      <c r="V566" s="190"/>
      <c r="W566" s="74"/>
      <c r="X566" s="74"/>
      <c r="Y566" s="34"/>
      <c r="Z566" s="128"/>
      <c r="AA566" s="27"/>
      <c r="AB566" s="221" t="s">
        <v>361</v>
      </c>
    </row>
    <row r="567" spans="1:30" s="22" customFormat="1" ht="15" customHeight="1">
      <c r="A567" s="9" t="s">
        <v>46</v>
      </c>
      <c r="B567" s="30"/>
      <c r="C567" s="29"/>
      <c r="D567" s="34"/>
      <c r="E567" s="36"/>
      <c r="F567" s="34"/>
      <c r="G567" s="34"/>
      <c r="H567" s="34"/>
      <c r="I567" s="34"/>
      <c r="J567" s="33"/>
      <c r="K567" s="34"/>
      <c r="L567" s="34"/>
      <c r="M567" s="34"/>
      <c r="N567" s="36"/>
      <c r="O567" s="34"/>
      <c r="P567" s="186"/>
      <c r="Q567" s="186"/>
      <c r="R567" s="186"/>
      <c r="S567" s="186"/>
      <c r="T567" s="92"/>
      <c r="U567" s="92"/>
      <c r="V567" s="190"/>
      <c r="W567" s="74"/>
      <c r="X567" s="74"/>
      <c r="Y567" s="34"/>
      <c r="Z567" s="128"/>
      <c r="AA567" s="27"/>
      <c r="AB567" s="221" t="s">
        <v>362</v>
      </c>
    </row>
    <row r="568" spans="1:30" s="22" customFormat="1" ht="15" customHeight="1">
      <c r="A568" s="7" t="s">
        <v>39</v>
      </c>
      <c r="B568" s="195"/>
      <c r="C568" s="142"/>
      <c r="D568" s="143"/>
      <c r="E568" s="144"/>
      <c r="F568" s="143"/>
      <c r="G568" s="143"/>
      <c r="H568" s="143"/>
      <c r="I568" s="149"/>
      <c r="J568" s="149"/>
      <c r="K568" s="143"/>
      <c r="L568" s="143"/>
      <c r="M568" s="143"/>
      <c r="N568" s="144"/>
      <c r="O568" s="143"/>
      <c r="P568" s="196"/>
      <c r="Q568" s="196"/>
      <c r="R568" s="196"/>
      <c r="S568" s="196"/>
      <c r="T568" s="166"/>
      <c r="U568" s="166"/>
      <c r="V568" s="197"/>
      <c r="W568" s="145"/>
      <c r="X568" s="145"/>
      <c r="Y568" s="143"/>
      <c r="Z568" s="146"/>
      <c r="AA568"/>
      <c r="AB568" s="221" t="s">
        <v>363</v>
      </c>
    </row>
    <row r="569" spans="1:30" s="22" customFormat="1" ht="15" customHeight="1">
      <c r="A569" s="9" t="s">
        <v>51</v>
      </c>
      <c r="B569" s="31"/>
      <c r="C569" s="29"/>
      <c r="D569" s="34"/>
      <c r="E569" s="36"/>
      <c r="F569" s="34"/>
      <c r="G569" s="34"/>
      <c r="H569" s="34"/>
      <c r="I569" s="34"/>
      <c r="J569" s="33"/>
      <c r="K569" s="34"/>
      <c r="L569" s="34"/>
      <c r="M569" s="34"/>
      <c r="N569" s="36"/>
      <c r="O569" s="34"/>
      <c r="P569" s="186"/>
      <c r="Q569" s="186"/>
      <c r="R569" s="186"/>
      <c r="S569" s="186"/>
      <c r="T569" s="92"/>
      <c r="U569" s="92"/>
      <c r="V569" s="190"/>
      <c r="W569" s="74"/>
      <c r="X569" s="74"/>
      <c r="Y569" s="34"/>
      <c r="Z569" s="128"/>
      <c r="AA569" s="27"/>
      <c r="AB569" s="221" t="s">
        <v>364</v>
      </c>
    </row>
    <row r="570" spans="1:30" s="22" customFormat="1" ht="15" customHeight="1">
      <c r="A570" s="7" t="s">
        <v>36</v>
      </c>
      <c r="B570" s="141"/>
      <c r="C570" s="142"/>
      <c r="D570" s="143"/>
      <c r="E570" s="144"/>
      <c r="F570" s="143"/>
      <c r="G570" s="143"/>
      <c r="H570" s="143"/>
      <c r="I570" s="149"/>
      <c r="J570" s="149"/>
      <c r="K570" s="143"/>
      <c r="L570" s="143"/>
      <c r="M570" s="143"/>
      <c r="N570" s="144"/>
      <c r="O570" s="143"/>
      <c r="P570" s="196"/>
      <c r="Q570" s="196"/>
      <c r="R570" s="196"/>
      <c r="S570" s="196"/>
      <c r="T570" s="166"/>
      <c r="U570" s="166"/>
      <c r="V570" s="197"/>
      <c r="W570" s="145"/>
      <c r="X570" s="145"/>
      <c r="Y570" s="143"/>
      <c r="Z570" s="146"/>
      <c r="AA570" s="27"/>
      <c r="AB570" s="221" t="s">
        <v>365</v>
      </c>
    </row>
    <row r="571" spans="1:30" s="22" customFormat="1" ht="15" customHeight="1">
      <c r="A571" s="9" t="s">
        <v>34</v>
      </c>
      <c r="B571" s="31"/>
      <c r="C571" s="29"/>
      <c r="D571" s="34"/>
      <c r="E571" s="36"/>
      <c r="F571" s="34"/>
      <c r="G571" s="34"/>
      <c r="H571" s="34"/>
      <c r="I571" s="34"/>
      <c r="J571" s="33"/>
      <c r="K571" s="34"/>
      <c r="L571" s="34"/>
      <c r="M571" s="34"/>
      <c r="N571" s="36"/>
      <c r="O571" s="34"/>
      <c r="P571" s="186"/>
      <c r="Q571" s="186"/>
      <c r="R571" s="186"/>
      <c r="S571" s="186"/>
      <c r="T571" s="92"/>
      <c r="U571" s="92"/>
      <c r="V571" s="190"/>
      <c r="W571" s="74"/>
      <c r="X571" s="74"/>
      <c r="Y571" s="34"/>
      <c r="Z571" s="128"/>
      <c r="AA571" s="27"/>
      <c r="AB571" s="221" t="s">
        <v>366</v>
      </c>
      <c r="AD571" s="1"/>
    </row>
    <row r="572" spans="1:30" s="22" customFormat="1" ht="15" customHeight="1">
      <c r="A572" s="7" t="s">
        <v>52</v>
      </c>
      <c r="B572" s="141"/>
      <c r="C572" s="148"/>
      <c r="D572" s="149"/>
      <c r="E572" s="150"/>
      <c r="F572" s="149"/>
      <c r="G572" s="149"/>
      <c r="H572" s="149"/>
      <c r="I572" s="149"/>
      <c r="J572" s="149"/>
      <c r="K572" s="149"/>
      <c r="L572" s="149"/>
      <c r="M572" s="149"/>
      <c r="N572" s="150"/>
      <c r="O572" s="149"/>
      <c r="P572" s="193"/>
      <c r="Q572" s="193"/>
      <c r="R572" s="193"/>
      <c r="S572" s="193"/>
      <c r="T572" s="164"/>
      <c r="U572" s="164"/>
      <c r="V572" s="194"/>
      <c r="W572" s="151"/>
      <c r="X572" s="151"/>
      <c r="Y572" s="149"/>
      <c r="Z572" s="146"/>
      <c r="AA572"/>
      <c r="AB572" s="221" t="s">
        <v>367</v>
      </c>
    </row>
    <row r="573" spans="1:30" s="22" customFormat="1" ht="15" customHeight="1">
      <c r="A573" s="9" t="s">
        <v>29</v>
      </c>
      <c r="B573" s="31"/>
      <c r="C573" s="28"/>
      <c r="D573" s="33"/>
      <c r="E573" s="37"/>
      <c r="F573" s="33"/>
      <c r="G573" s="33"/>
      <c r="H573" s="33"/>
      <c r="I573" s="34"/>
      <c r="J573" s="34"/>
      <c r="K573" s="33"/>
      <c r="L573" s="33"/>
      <c r="M573" s="33"/>
      <c r="N573" s="37"/>
      <c r="O573" s="33"/>
      <c r="P573" s="185"/>
      <c r="Q573" s="185"/>
      <c r="R573" s="185"/>
      <c r="S573" s="185"/>
      <c r="T573" s="90"/>
      <c r="U573" s="90"/>
      <c r="V573" s="189"/>
      <c r="W573" s="75"/>
      <c r="X573" s="75"/>
      <c r="Y573" s="33"/>
      <c r="Z573" s="128"/>
      <c r="AA573"/>
      <c r="AB573" s="221" t="s">
        <v>368</v>
      </c>
    </row>
    <row r="574" spans="1:30" s="22" customFormat="1" ht="15" customHeight="1">
      <c r="A574" s="7" t="s">
        <v>30</v>
      </c>
      <c r="B574" s="141"/>
      <c r="C574" s="148"/>
      <c r="D574" s="149"/>
      <c r="E574" s="150"/>
      <c r="F574" s="149"/>
      <c r="G574" s="149"/>
      <c r="H574" s="149"/>
      <c r="I574" s="149"/>
      <c r="J574" s="143"/>
      <c r="K574" s="149"/>
      <c r="L574" s="149"/>
      <c r="M574" s="149"/>
      <c r="N574" s="150"/>
      <c r="O574" s="149"/>
      <c r="P574" s="193"/>
      <c r="Q574" s="193"/>
      <c r="R574" s="193"/>
      <c r="S574" s="193"/>
      <c r="T574" s="164"/>
      <c r="U574" s="164"/>
      <c r="V574" s="194"/>
      <c r="W574" s="151"/>
      <c r="X574" s="230"/>
      <c r="Y574" s="161"/>
      <c r="Z574" s="146"/>
      <c r="AA574" s="27"/>
      <c r="AB574" s="221" t="s">
        <v>369</v>
      </c>
      <c r="AD574" s="1"/>
    </row>
    <row r="575" spans="1:30" s="22" customFormat="1" ht="15" customHeight="1">
      <c r="A575" s="9" t="s">
        <v>59</v>
      </c>
      <c r="B575" s="147"/>
      <c r="C575" s="142"/>
      <c r="D575" s="143"/>
      <c r="E575" s="144"/>
      <c r="F575" s="143"/>
      <c r="G575" s="143"/>
      <c r="H575" s="143"/>
      <c r="I575" s="149"/>
      <c r="J575" s="149"/>
      <c r="K575" s="143"/>
      <c r="L575" s="143"/>
      <c r="M575" s="143"/>
      <c r="N575" s="144"/>
      <c r="O575" s="143"/>
      <c r="P575" s="196"/>
      <c r="Q575" s="196"/>
      <c r="R575" s="196"/>
      <c r="S575" s="196"/>
      <c r="T575" s="166"/>
      <c r="U575" s="166"/>
      <c r="V575" s="197"/>
      <c r="W575" s="145"/>
      <c r="X575" s="145"/>
      <c r="Y575" s="143"/>
      <c r="Z575" s="146"/>
      <c r="AA575"/>
      <c r="AB575" s="221" t="s">
        <v>370</v>
      </c>
    </row>
    <row r="576" spans="1:30" s="22" customFormat="1" ht="15" customHeight="1">
      <c r="A576" s="7" t="s">
        <v>32</v>
      </c>
      <c r="B576" s="30"/>
      <c r="C576" s="29"/>
      <c r="D576" s="34"/>
      <c r="E576" s="36"/>
      <c r="F576" s="34"/>
      <c r="G576" s="34"/>
      <c r="H576" s="34"/>
      <c r="I576" s="34"/>
      <c r="J576" s="33"/>
      <c r="K576" s="34"/>
      <c r="L576" s="34"/>
      <c r="M576" s="34"/>
      <c r="N576" s="36"/>
      <c r="O576" s="34"/>
      <c r="P576" s="186"/>
      <c r="Q576" s="186"/>
      <c r="R576" s="186"/>
      <c r="S576" s="186"/>
      <c r="T576" s="92"/>
      <c r="U576" s="92"/>
      <c r="V576" s="190"/>
      <c r="W576" s="74"/>
      <c r="X576" s="74"/>
      <c r="Y576" s="34"/>
      <c r="Z576" s="128"/>
      <c r="AA576"/>
      <c r="AB576" s="218" t="s">
        <v>143</v>
      </c>
      <c r="AC576" s="132"/>
      <c r="AD576" s="1"/>
    </row>
    <row r="577" spans="1:32" s="22" customFormat="1" ht="15" customHeight="1">
      <c r="A577" s="9" t="s">
        <v>37</v>
      </c>
      <c r="B577" s="147"/>
      <c r="C577" s="142"/>
      <c r="D577" s="143"/>
      <c r="E577" s="144"/>
      <c r="F577" s="143"/>
      <c r="G577" s="143"/>
      <c r="H577" s="143"/>
      <c r="I577" s="149"/>
      <c r="J577" s="149"/>
      <c r="K577" s="143"/>
      <c r="L577" s="143"/>
      <c r="M577" s="143"/>
      <c r="N577" s="144"/>
      <c r="O577" s="143"/>
      <c r="P577" s="196"/>
      <c r="Q577" s="196"/>
      <c r="R577" s="196"/>
      <c r="S577" s="196"/>
      <c r="T577" s="166"/>
      <c r="U577" s="166"/>
      <c r="V577" s="197"/>
      <c r="W577" s="145"/>
      <c r="X577" s="145"/>
      <c r="Y577" s="143"/>
      <c r="Z577" s="146"/>
      <c r="AA577"/>
      <c r="AB577" s="221" t="s">
        <v>371</v>
      </c>
      <c r="AC577" s="134"/>
    </row>
    <row r="578" spans="1:32" s="22" customFormat="1" ht="15" customHeight="1">
      <c r="A578" s="7" t="s">
        <v>38</v>
      </c>
      <c r="B578" s="30"/>
      <c r="C578" s="29"/>
      <c r="D578" s="34"/>
      <c r="E578" s="36"/>
      <c r="F578" s="34"/>
      <c r="G578" s="34"/>
      <c r="H578" s="34"/>
      <c r="I578" s="34"/>
      <c r="J578" s="33"/>
      <c r="K578" s="34"/>
      <c r="L578" s="34"/>
      <c r="M578" s="34"/>
      <c r="N578" s="36"/>
      <c r="O578" s="34"/>
      <c r="P578" s="186"/>
      <c r="Q578" s="186"/>
      <c r="R578" s="186"/>
      <c r="S578" s="186"/>
      <c r="T578" s="92"/>
      <c r="U578" s="92"/>
      <c r="V578" s="190"/>
      <c r="W578" s="74"/>
      <c r="X578" s="74"/>
      <c r="Y578" s="34"/>
      <c r="Z578" s="128"/>
      <c r="AC578" s="132"/>
      <c r="AD578"/>
    </row>
    <row r="579" spans="1:32" s="22" customFormat="1" ht="15" customHeight="1">
      <c r="A579" s="9" t="s">
        <v>55</v>
      </c>
      <c r="B579" s="31"/>
      <c r="C579" s="28"/>
      <c r="D579" s="33"/>
      <c r="E579" s="37"/>
      <c r="F579" s="33"/>
      <c r="G579" s="33"/>
      <c r="H579" s="33"/>
      <c r="I579" s="34"/>
      <c r="J579" s="34"/>
      <c r="K579" s="33"/>
      <c r="L579" s="33"/>
      <c r="M579" s="33"/>
      <c r="N579" s="37"/>
      <c r="O579" s="33"/>
      <c r="P579" s="185"/>
      <c r="Q579" s="185"/>
      <c r="R579" s="185"/>
      <c r="S579" s="185"/>
      <c r="T579" s="90"/>
      <c r="U579" s="90"/>
      <c r="V579" s="189"/>
      <c r="W579" s="75"/>
      <c r="X579" s="75"/>
      <c r="Y579" s="33"/>
      <c r="AC579" s="134"/>
      <c r="AD579" s="27"/>
    </row>
    <row r="580" spans="1:32" s="22" customFormat="1" ht="15" customHeight="1">
      <c r="A580" s="7" t="s">
        <v>44</v>
      </c>
      <c r="B580" s="141"/>
      <c r="C580" s="148"/>
      <c r="D580" s="149"/>
      <c r="E580" s="150"/>
      <c r="F580" s="149"/>
      <c r="G580" s="149"/>
      <c r="H580" s="149"/>
      <c r="I580" s="149"/>
      <c r="J580" s="143"/>
      <c r="K580" s="149"/>
      <c r="L580" s="149"/>
      <c r="M580" s="149"/>
      <c r="N580" s="150"/>
      <c r="O580" s="149"/>
      <c r="P580" s="193"/>
      <c r="Q580" s="193"/>
      <c r="R580" s="193"/>
      <c r="S580" s="193"/>
      <c r="T580" s="164"/>
      <c r="U580" s="164"/>
      <c r="V580" s="194"/>
      <c r="W580" s="151"/>
      <c r="X580" s="151"/>
      <c r="Y580" s="149"/>
      <c r="Z580" s="152"/>
      <c r="AC580" s="134"/>
      <c r="AE580" s="132"/>
      <c r="AF580" s="132"/>
    </row>
    <row r="581" spans="1:32" s="22" customFormat="1" ht="15" customHeight="1">
      <c r="A581" s="9" t="s">
        <v>48</v>
      </c>
      <c r="B581" s="31"/>
      <c r="C581" s="28"/>
      <c r="D581" s="33"/>
      <c r="E581" s="37"/>
      <c r="F581" s="33"/>
      <c r="G581" s="33"/>
      <c r="H581" s="33"/>
      <c r="I581" s="34"/>
      <c r="J581" s="34"/>
      <c r="K581" s="33"/>
      <c r="L581" s="33"/>
      <c r="M581" s="33"/>
      <c r="N581" s="37"/>
      <c r="O581" s="33"/>
      <c r="P581" s="185"/>
      <c r="Q581" s="185"/>
      <c r="R581" s="185"/>
      <c r="S581" s="185"/>
      <c r="T581" s="90"/>
      <c r="U581" s="90"/>
      <c r="V581" s="189"/>
      <c r="W581" s="75"/>
      <c r="X581" s="75"/>
      <c r="Y581" s="33"/>
      <c r="Z581" s="140"/>
      <c r="AC581" s="132"/>
      <c r="AE581" s="134"/>
      <c r="AF581" s="134"/>
    </row>
    <row r="582" spans="1:32" s="22" customFormat="1" ht="15" customHeight="1">
      <c r="A582" s="7" t="s">
        <v>35</v>
      </c>
      <c r="B582" s="141"/>
      <c r="C582" s="148"/>
      <c r="D582" s="149"/>
      <c r="E582" s="150"/>
      <c r="F582" s="149"/>
      <c r="G582" s="149"/>
      <c r="H582" s="149"/>
      <c r="I582" s="149"/>
      <c r="J582" s="143"/>
      <c r="K582" s="149"/>
      <c r="L582" s="149"/>
      <c r="M582" s="149"/>
      <c r="N582" s="150"/>
      <c r="O582" s="149"/>
      <c r="P582" s="193"/>
      <c r="Q582" s="193"/>
      <c r="R582" s="193"/>
      <c r="S582" s="193"/>
      <c r="T582" s="164"/>
      <c r="U582" s="164"/>
      <c r="V582" s="194"/>
      <c r="W582" s="151"/>
      <c r="X582" s="151"/>
      <c r="Y582" s="149"/>
      <c r="Z582" s="152"/>
      <c r="AC582" s="134"/>
      <c r="AE582" s="132"/>
      <c r="AF582" s="132"/>
    </row>
    <row r="583" spans="1:32" s="22" customFormat="1" ht="15" customHeight="1">
      <c r="A583" s="9" t="s">
        <v>49</v>
      </c>
      <c r="B583" s="147"/>
      <c r="C583" s="142"/>
      <c r="D583" s="143"/>
      <c r="E583" s="144"/>
      <c r="F583" s="143"/>
      <c r="G583" s="143"/>
      <c r="H583" s="143"/>
      <c r="I583" s="149"/>
      <c r="J583" s="149"/>
      <c r="K583" s="143"/>
      <c r="L583" s="143"/>
      <c r="M583" s="143"/>
      <c r="N583" s="144"/>
      <c r="O583" s="143"/>
      <c r="P583" s="196"/>
      <c r="Q583" s="196"/>
      <c r="R583" s="196"/>
      <c r="S583" s="196"/>
      <c r="T583" s="166"/>
      <c r="U583" s="166"/>
      <c r="V583" s="197"/>
      <c r="W583" s="145"/>
      <c r="X583" s="145"/>
      <c r="Y583" s="143"/>
      <c r="Z583" s="152"/>
      <c r="AC583" s="134"/>
      <c r="AE583" s="132"/>
      <c r="AF583" s="132"/>
    </row>
    <row r="584" spans="1:32" s="26" customFormat="1" ht="15" customHeight="1">
      <c r="A584" s="7" t="s">
        <v>40</v>
      </c>
      <c r="B584" s="31"/>
      <c r="C584" s="29"/>
      <c r="D584" s="34"/>
      <c r="E584" s="36"/>
      <c r="F584" s="34"/>
      <c r="G584" s="34"/>
      <c r="H584" s="34"/>
      <c r="I584" s="34"/>
      <c r="J584" s="34"/>
      <c r="K584" s="34"/>
      <c r="L584" s="34"/>
      <c r="M584" s="34"/>
      <c r="N584" s="36"/>
      <c r="O584" s="34"/>
      <c r="P584" s="186"/>
      <c r="Q584" s="186"/>
      <c r="R584" s="186"/>
      <c r="S584" s="186"/>
      <c r="T584" s="92"/>
      <c r="U584" s="92"/>
      <c r="V584" s="190"/>
      <c r="W584" s="74"/>
      <c r="X584" s="74"/>
      <c r="Y584" s="34"/>
      <c r="Z584" s="140"/>
      <c r="AC584" s="132"/>
      <c r="AD584" s="22"/>
      <c r="AE584" s="134"/>
      <c r="AF584" s="134"/>
    </row>
    <row r="585" spans="1:32" s="22" customFormat="1" ht="15" customHeight="1">
      <c r="A585" s="9" t="s">
        <v>33</v>
      </c>
      <c r="B585" s="31"/>
      <c r="C585" s="29"/>
      <c r="D585" s="34"/>
      <c r="E585" s="36"/>
      <c r="F585" s="34"/>
      <c r="G585" s="34"/>
      <c r="H585" s="34"/>
      <c r="I585" s="34"/>
      <c r="J585" s="33"/>
      <c r="K585" s="34"/>
      <c r="L585" s="34"/>
      <c r="M585" s="34"/>
      <c r="N585" s="36"/>
      <c r="O585" s="34"/>
      <c r="P585" s="186"/>
      <c r="Q585" s="186"/>
      <c r="R585" s="186"/>
      <c r="S585" s="186"/>
      <c r="T585" s="92"/>
      <c r="U585" s="92"/>
      <c r="V585" s="190"/>
      <c r="W585" s="74"/>
      <c r="X585" s="74"/>
      <c r="Y585" s="34"/>
      <c r="Z585" s="140"/>
      <c r="AC585" s="134"/>
      <c r="AE585" s="134"/>
      <c r="AF585" s="134"/>
    </row>
    <row r="586" spans="1:32" s="22" customFormat="1" ht="15" customHeight="1">
      <c r="A586" s="14" t="s">
        <v>42</v>
      </c>
      <c r="B586" s="141"/>
      <c r="C586" s="142"/>
      <c r="D586" s="141"/>
      <c r="E586" s="144"/>
      <c r="F586" s="143"/>
      <c r="G586" s="143"/>
      <c r="H586" s="143"/>
      <c r="I586" s="143"/>
      <c r="J586" s="143"/>
      <c r="K586" s="143"/>
      <c r="L586" s="143"/>
      <c r="M586" s="143"/>
      <c r="N586" s="144"/>
      <c r="O586" s="143"/>
      <c r="P586" s="196"/>
      <c r="Q586" s="196"/>
      <c r="R586" s="196"/>
      <c r="S586" s="196"/>
      <c r="T586" s="166"/>
      <c r="U586" s="166"/>
      <c r="V586" s="197"/>
      <c r="W586" s="145"/>
      <c r="X586" s="145"/>
      <c r="Y586" s="143"/>
      <c r="Z586" s="152"/>
      <c r="AC586" s="134"/>
      <c r="AE586" s="132"/>
      <c r="AF586" s="132"/>
    </row>
    <row r="587" spans="1:32" s="22" customFormat="1" ht="15" customHeight="1">
      <c r="A587" s="9" t="s">
        <v>31</v>
      </c>
      <c r="B587" s="141"/>
      <c r="C587" s="142"/>
      <c r="D587" s="141"/>
      <c r="E587" s="173"/>
      <c r="F587" s="143"/>
      <c r="G587" s="143"/>
      <c r="H587" s="143"/>
      <c r="I587" s="143"/>
      <c r="J587" s="143"/>
      <c r="K587" s="143"/>
      <c r="L587" s="143"/>
      <c r="M587" s="143"/>
      <c r="N587" s="173"/>
      <c r="O587" s="143"/>
      <c r="P587" s="196"/>
      <c r="Q587" s="196"/>
      <c r="R587" s="196"/>
      <c r="S587" s="196"/>
      <c r="T587" s="166"/>
      <c r="U587" s="166"/>
      <c r="V587" s="197"/>
      <c r="W587" s="227"/>
      <c r="X587" s="227"/>
      <c r="Y587" s="173"/>
      <c r="Z587" s="152"/>
      <c r="AC587" s="134"/>
      <c r="AE587" s="132"/>
      <c r="AF587" s="132"/>
    </row>
    <row r="588" spans="1:32" s="22" customFormat="1" ht="15" customHeight="1">
      <c r="A588" s="7" t="s">
        <v>60</v>
      </c>
      <c r="B588" s="141"/>
      <c r="C588" s="142"/>
      <c r="D588" s="143"/>
      <c r="E588" s="173"/>
      <c r="F588" s="143"/>
      <c r="G588" s="143"/>
      <c r="H588" s="143"/>
      <c r="I588" s="143"/>
      <c r="J588" s="143"/>
      <c r="K588" s="143"/>
      <c r="L588" s="143"/>
      <c r="M588" s="143"/>
      <c r="N588" s="173"/>
      <c r="O588" s="143"/>
      <c r="P588" s="196"/>
      <c r="Q588" s="196"/>
      <c r="R588" s="196"/>
      <c r="S588" s="196"/>
      <c r="T588" s="166"/>
      <c r="U588" s="166"/>
      <c r="V588" s="197"/>
      <c r="W588" s="227"/>
      <c r="X588" s="227"/>
      <c r="Y588" s="173"/>
      <c r="Z588" s="152"/>
      <c r="AC588" s="134"/>
      <c r="AE588" s="132"/>
      <c r="AF588" s="132"/>
    </row>
    <row r="589" spans="1:32" s="22" customFormat="1" ht="15" customHeight="1">
      <c r="A589" s="53">
        <f>+A548+7</f>
        <v>46006</v>
      </c>
      <c r="B589" s="95"/>
      <c r="C589" s="95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188"/>
      <c r="Q589" s="188"/>
      <c r="R589" s="188"/>
      <c r="S589" s="188"/>
      <c r="T589" s="188"/>
      <c r="U589" s="188"/>
      <c r="V589" s="188"/>
      <c r="W589" s="188"/>
      <c r="X589" s="188"/>
      <c r="Y589" s="192"/>
      <c r="Z589" s="140"/>
      <c r="AC589" s="134"/>
      <c r="AE589" s="134"/>
      <c r="AF589" s="134"/>
    </row>
    <row r="590" spans="1:32" s="22" customFormat="1" ht="15" customHeight="1">
      <c r="A590" s="9" t="s">
        <v>53</v>
      </c>
      <c r="B590" s="147"/>
      <c r="C590" s="142"/>
      <c r="D590" s="143"/>
      <c r="E590" s="144"/>
      <c r="F590" s="143"/>
      <c r="G590" s="143"/>
      <c r="H590" s="143"/>
      <c r="I590" s="149"/>
      <c r="J590" s="149"/>
      <c r="K590" s="143"/>
      <c r="L590" s="143"/>
      <c r="M590" s="143"/>
      <c r="N590" s="144"/>
      <c r="O590" s="143"/>
      <c r="P590" s="196"/>
      <c r="Q590" s="196"/>
      <c r="R590" s="196"/>
      <c r="S590" s="196"/>
      <c r="T590" s="166"/>
      <c r="U590" s="166"/>
      <c r="V590" s="197"/>
      <c r="W590" s="145"/>
      <c r="X590" s="145"/>
      <c r="Y590" s="143"/>
      <c r="Z590" s="152"/>
      <c r="AC590" s="134"/>
      <c r="AE590" s="132"/>
      <c r="AF590" s="132"/>
    </row>
    <row r="591" spans="1:32" s="22" customFormat="1" ht="15" customHeight="1">
      <c r="A591" s="7" t="s">
        <v>56</v>
      </c>
      <c r="B591" s="31"/>
      <c r="C591" s="29"/>
      <c r="D591" s="34"/>
      <c r="E591" s="36"/>
      <c r="F591" s="34"/>
      <c r="G591" s="34"/>
      <c r="H591" s="34"/>
      <c r="I591" s="34"/>
      <c r="J591" s="33"/>
      <c r="K591" s="34"/>
      <c r="L591" s="34"/>
      <c r="M591" s="34"/>
      <c r="N591" s="36"/>
      <c r="O591" s="34"/>
      <c r="P591" s="186"/>
      <c r="Q591" s="186"/>
      <c r="R591" s="186"/>
      <c r="S591" s="186"/>
      <c r="T591" s="92"/>
      <c r="U591" s="92"/>
      <c r="V591" s="190"/>
      <c r="W591" s="74"/>
      <c r="X591" s="74"/>
      <c r="Y591" s="34"/>
      <c r="Z591" s="140"/>
      <c r="AC591" s="1"/>
      <c r="AE591" s="134"/>
      <c r="AF591" s="134"/>
    </row>
    <row r="592" spans="1:32" ht="15" customHeight="1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40"/>
      <c r="AC592" s="22"/>
      <c r="AD592" s="22"/>
      <c r="AE592" s="134"/>
      <c r="AF592" s="134"/>
    </row>
    <row r="593" spans="1:32" ht="15" customHeight="1">
      <c r="A593" s="16" t="s">
        <v>22</v>
      </c>
      <c r="B593" s="9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40"/>
      <c r="AE593" s="134"/>
      <c r="AF593" s="134"/>
    </row>
    <row r="594" spans="1:32" ht="15" customHeight="1">
      <c r="A594" s="16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40"/>
      <c r="AC594" s="22"/>
      <c r="AD594" s="27"/>
      <c r="AE594" s="134"/>
      <c r="AF594" s="134"/>
    </row>
    <row r="595" spans="1:32" ht="15" customHeight="1">
      <c r="A595" s="13" t="s">
        <v>23</v>
      </c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40"/>
      <c r="AC595" s="22"/>
      <c r="AD595" s="132"/>
      <c r="AE595" s="134"/>
      <c r="AF595" s="134"/>
    </row>
    <row r="596" spans="1:32" ht="15" customHeight="1">
      <c r="B596" s="12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AC596" s="22"/>
      <c r="AD596"/>
    </row>
    <row r="597" spans="1:32" ht="15" customHeight="1">
      <c r="A597" s="16" t="s">
        <v>14</v>
      </c>
      <c r="B597" s="18"/>
      <c r="C597" s="100"/>
      <c r="D597" s="100"/>
      <c r="E597" s="100"/>
      <c r="F597" s="100"/>
      <c r="G597" s="10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 s="27"/>
    </row>
    <row r="598" spans="1:32" ht="15" customHeight="1" thickBot="1">
      <c r="A598" s="54">
        <f>+A557+7</f>
        <v>46009</v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AC598" s="22"/>
      <c r="AD598"/>
    </row>
    <row r="599" spans="1:32" s="22" customFormat="1" ht="15" customHeight="1">
      <c r="A599" s="9" t="s">
        <v>44</v>
      </c>
      <c r="B599" s="143"/>
      <c r="C599" s="142"/>
      <c r="D599" s="143"/>
      <c r="E599" s="144"/>
      <c r="F599" s="143"/>
      <c r="G599" s="143"/>
      <c r="H599" s="143"/>
      <c r="I599" s="143"/>
      <c r="J599" s="143"/>
      <c r="K599" s="143"/>
      <c r="L599" s="143"/>
      <c r="M599" s="143"/>
      <c r="N599" s="144"/>
      <c r="O599" s="143"/>
      <c r="P599" s="144"/>
      <c r="Q599" s="144"/>
      <c r="R599" s="144"/>
      <c r="S599" s="144"/>
      <c r="T599" s="166"/>
      <c r="U599" s="170"/>
      <c r="V599" s="144"/>
      <c r="W599" s="145"/>
      <c r="X599" s="145"/>
      <c r="Y599" s="141"/>
      <c r="Z599" s="146"/>
      <c r="AA599"/>
      <c r="AB599" s="220" t="s">
        <v>14</v>
      </c>
      <c r="AD599" s="27"/>
    </row>
    <row r="600" spans="1:32" s="22" customFormat="1" ht="15" customHeight="1">
      <c r="A600" s="7" t="s">
        <v>40</v>
      </c>
      <c r="B600" s="34"/>
      <c r="C600" s="29"/>
      <c r="D600" s="34"/>
      <c r="E600" s="36"/>
      <c r="F600" s="34"/>
      <c r="G600" s="34"/>
      <c r="H600" s="34"/>
      <c r="I600" s="34"/>
      <c r="J600" s="34"/>
      <c r="K600" s="34"/>
      <c r="L600" s="34"/>
      <c r="M600" s="34"/>
      <c r="N600" s="36"/>
      <c r="O600" s="34"/>
      <c r="P600" s="136"/>
      <c r="Q600" s="136"/>
      <c r="R600" s="186"/>
      <c r="S600" s="186"/>
      <c r="T600" s="92"/>
      <c r="U600" s="88"/>
      <c r="V600" s="186"/>
      <c r="W600" s="74"/>
      <c r="X600" s="74"/>
      <c r="Y600" s="31"/>
      <c r="Z600" s="109"/>
      <c r="AA600"/>
      <c r="AB600" s="218" t="s">
        <v>144</v>
      </c>
      <c r="AD600"/>
    </row>
    <row r="601" spans="1:32" s="22" customFormat="1" ht="15" customHeight="1">
      <c r="A601" s="20">
        <f>+A598+2</f>
        <v>46011</v>
      </c>
      <c r="B601" s="57"/>
      <c r="C601" s="35"/>
      <c r="D601" s="57"/>
      <c r="E601" s="63"/>
      <c r="F601" s="57"/>
      <c r="G601" s="57"/>
      <c r="H601" s="57"/>
      <c r="I601" s="57"/>
      <c r="J601" s="57"/>
      <c r="K601" s="57"/>
      <c r="L601" s="57"/>
      <c r="M601" s="130"/>
      <c r="N601" s="63"/>
      <c r="O601" s="57"/>
      <c r="P601" s="137"/>
      <c r="Q601" s="137"/>
      <c r="R601" s="199"/>
      <c r="S601" s="199"/>
      <c r="T601" s="57"/>
      <c r="U601" s="57"/>
      <c r="V601" s="199"/>
      <c r="W601" s="57"/>
      <c r="X601" s="57"/>
      <c r="Y601" s="93"/>
      <c r="Z601" s="109"/>
      <c r="AA601"/>
      <c r="AB601" s="221" t="s">
        <v>372</v>
      </c>
      <c r="AD601"/>
    </row>
    <row r="602" spans="1:32" s="22" customFormat="1" ht="15" customHeight="1">
      <c r="A602" s="9" t="s">
        <v>37</v>
      </c>
      <c r="B602" s="143"/>
      <c r="C602" s="142"/>
      <c r="D602" s="143"/>
      <c r="E602" s="144"/>
      <c r="F602" s="143"/>
      <c r="G602" s="143"/>
      <c r="H602" s="143"/>
      <c r="I602" s="143"/>
      <c r="J602" s="143"/>
      <c r="K602" s="143"/>
      <c r="L602" s="143"/>
      <c r="M602" s="143"/>
      <c r="N602" s="144"/>
      <c r="O602" s="143"/>
      <c r="P602" s="144"/>
      <c r="Q602" s="144"/>
      <c r="R602" s="144"/>
      <c r="S602" s="144"/>
      <c r="T602" s="166"/>
      <c r="U602" s="166"/>
      <c r="V602" s="144"/>
      <c r="W602" s="145"/>
      <c r="X602" s="231"/>
      <c r="Y602" s="142"/>
      <c r="Z602" s="146"/>
      <c r="AA602"/>
      <c r="AB602" s="218" t="s">
        <v>145</v>
      </c>
      <c r="AD602" s="134"/>
    </row>
    <row r="603" spans="1:32" ht="15" customHeight="1">
      <c r="A603" s="7" t="s">
        <v>58</v>
      </c>
      <c r="B603" s="34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6"/>
      <c r="O603" s="34"/>
      <c r="P603" s="136"/>
      <c r="Q603" s="136"/>
      <c r="R603" s="186"/>
      <c r="S603" s="186"/>
      <c r="T603" s="92"/>
      <c r="U603" s="92"/>
      <c r="V603" s="186"/>
      <c r="W603" s="74"/>
      <c r="X603" s="232"/>
      <c r="Y603" s="29"/>
      <c r="Z603" s="109"/>
      <c r="AB603" s="221" t="s">
        <v>373</v>
      </c>
      <c r="AC603" s="22"/>
      <c r="AD603" s="27"/>
    </row>
    <row r="604" spans="1:32" s="22" customFormat="1" ht="15" customHeight="1">
      <c r="A604" s="9" t="s">
        <v>32</v>
      </c>
      <c r="B604" s="143"/>
      <c r="C604" s="142"/>
      <c r="D604" s="143"/>
      <c r="E604" s="144"/>
      <c r="F604" s="143"/>
      <c r="G604" s="143"/>
      <c r="H604" s="143"/>
      <c r="I604" s="143"/>
      <c r="J604" s="143"/>
      <c r="K604" s="143"/>
      <c r="L604" s="143"/>
      <c r="M604" s="143"/>
      <c r="N604" s="144"/>
      <c r="O604" s="143"/>
      <c r="P604" s="144"/>
      <c r="Q604" s="144"/>
      <c r="R604" s="144"/>
      <c r="S604" s="144"/>
      <c r="T604" s="166"/>
      <c r="U604" s="170"/>
      <c r="V604" s="144"/>
      <c r="W604" s="145"/>
      <c r="X604" s="145"/>
      <c r="Y604" s="141"/>
      <c r="Z604" s="146"/>
      <c r="AA604" s="1"/>
      <c r="AB604" s="221" t="s">
        <v>374</v>
      </c>
      <c r="AD604" s="134"/>
    </row>
    <row r="605" spans="1:32" s="22" customFormat="1" ht="15" customHeight="1">
      <c r="A605" s="7" t="s">
        <v>51</v>
      </c>
      <c r="B605" s="34"/>
      <c r="C605" s="29"/>
      <c r="D605" s="34"/>
      <c r="E605" s="36"/>
      <c r="F605" s="34"/>
      <c r="G605" s="34"/>
      <c r="H605" s="34"/>
      <c r="I605" s="34"/>
      <c r="J605" s="34"/>
      <c r="K605" s="34"/>
      <c r="L605" s="34"/>
      <c r="M605" s="34"/>
      <c r="N605" s="36"/>
      <c r="O605" s="34"/>
      <c r="P605" s="136"/>
      <c r="Q605" s="136"/>
      <c r="R605" s="186"/>
      <c r="S605" s="186"/>
      <c r="T605" s="92"/>
      <c r="U605" s="88"/>
      <c r="V605" s="186"/>
      <c r="W605" s="74"/>
      <c r="X605" s="74"/>
      <c r="Y605" s="31"/>
      <c r="Z605" s="109"/>
      <c r="AB605" s="218" t="s">
        <v>146</v>
      </c>
      <c r="AD605"/>
    </row>
    <row r="606" spans="1:32" s="22" customFormat="1" ht="15" customHeight="1">
      <c r="A606" s="49">
        <f>+A601+1</f>
        <v>46012</v>
      </c>
      <c r="B606" s="93"/>
      <c r="C606" s="25"/>
      <c r="D606" s="93"/>
      <c r="E606" s="101"/>
      <c r="F606" s="93"/>
      <c r="G606" s="93"/>
      <c r="H606" s="93"/>
      <c r="I606" s="93"/>
      <c r="J606" s="93"/>
      <c r="K606" s="93"/>
      <c r="L606" s="93"/>
      <c r="M606" s="131"/>
      <c r="N606" s="93"/>
      <c r="O606" s="93"/>
      <c r="P606" s="138"/>
      <c r="Q606" s="138"/>
      <c r="R606" s="200"/>
      <c r="S606" s="200"/>
      <c r="T606" s="57"/>
      <c r="U606" s="57"/>
      <c r="V606" s="200"/>
      <c r="W606" s="57"/>
      <c r="X606" s="57"/>
      <c r="Y606" s="93"/>
      <c r="Z606" s="109"/>
      <c r="AB606" s="221" t="s">
        <v>375</v>
      </c>
      <c r="AD606" s="134"/>
    </row>
    <row r="607" spans="1:32" s="22" customFormat="1" ht="15" customHeight="1">
      <c r="A607" s="9" t="s">
        <v>52</v>
      </c>
      <c r="B607" s="149"/>
      <c r="C607" s="148"/>
      <c r="D607" s="149"/>
      <c r="E607" s="150"/>
      <c r="F607" s="149"/>
      <c r="G607" s="149"/>
      <c r="H607" s="149"/>
      <c r="I607" s="149"/>
      <c r="J607" s="149"/>
      <c r="K607" s="149"/>
      <c r="L607" s="149"/>
      <c r="M607" s="149"/>
      <c r="N607" s="150"/>
      <c r="O607" s="149"/>
      <c r="P607" s="150"/>
      <c r="Q607" s="150"/>
      <c r="R607" s="150"/>
      <c r="S607" s="150"/>
      <c r="T607" s="164"/>
      <c r="U607" s="164"/>
      <c r="V607" s="150"/>
      <c r="W607" s="151"/>
      <c r="X607" s="151"/>
      <c r="Y607" s="147"/>
      <c r="Z607" s="146"/>
      <c r="AA607" s="1"/>
      <c r="AB607" s="221" t="s">
        <v>376</v>
      </c>
      <c r="AD607" s="1"/>
    </row>
    <row r="608" spans="1:32" s="22" customFormat="1" ht="15" customHeight="1">
      <c r="A608" s="14" t="s">
        <v>45</v>
      </c>
      <c r="B608" s="33"/>
      <c r="C608" s="28"/>
      <c r="D608" s="33"/>
      <c r="E608" s="37"/>
      <c r="F608" s="33"/>
      <c r="G608" s="33"/>
      <c r="H608" s="33"/>
      <c r="I608" s="33"/>
      <c r="J608" s="33"/>
      <c r="K608" s="33"/>
      <c r="L608" s="33"/>
      <c r="M608" s="33"/>
      <c r="N608" s="37"/>
      <c r="O608" s="33"/>
      <c r="P608" s="135"/>
      <c r="Q608" s="135"/>
      <c r="R608" s="185"/>
      <c r="S608" s="185"/>
      <c r="T608" s="90"/>
      <c r="U608" s="90"/>
      <c r="V608" s="185"/>
      <c r="W608" s="75"/>
      <c r="X608" s="75"/>
      <c r="Y608" s="30"/>
      <c r="Z608" s="109"/>
      <c r="AA608" s="146"/>
      <c r="AB608" s="221" t="s">
        <v>377</v>
      </c>
      <c r="AD608" s="1"/>
    </row>
    <row r="609" spans="1:32" s="22" customFormat="1" ht="15" customHeight="1">
      <c r="A609" s="9" t="s">
        <v>41</v>
      </c>
      <c r="B609" s="143"/>
      <c r="C609" s="142"/>
      <c r="D609" s="143"/>
      <c r="E609" s="144"/>
      <c r="F609" s="143"/>
      <c r="G609" s="143"/>
      <c r="H609" s="143"/>
      <c r="I609" s="143"/>
      <c r="J609" s="143"/>
      <c r="K609" s="143"/>
      <c r="L609" s="143"/>
      <c r="M609" s="143"/>
      <c r="N609" s="144"/>
      <c r="O609" s="143"/>
      <c r="P609" s="144"/>
      <c r="Q609" s="144"/>
      <c r="R609" s="144"/>
      <c r="S609" s="144"/>
      <c r="T609" s="166"/>
      <c r="U609" s="170"/>
      <c r="V609" s="144"/>
      <c r="W609" s="145"/>
      <c r="X609" s="231"/>
      <c r="Y609" s="195"/>
      <c r="Z609" s="146"/>
      <c r="AA609" s="109"/>
      <c r="AB609" s="221" t="s">
        <v>378</v>
      </c>
      <c r="AC609" s="1"/>
      <c r="AD609" s="1"/>
    </row>
    <row r="610" spans="1:32" s="22" customFormat="1" ht="15" customHeight="1">
      <c r="A610" s="7" t="s">
        <v>48</v>
      </c>
      <c r="B610" s="34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6"/>
      <c r="O610" s="34"/>
      <c r="P610" s="136"/>
      <c r="Q610" s="136"/>
      <c r="R610" s="186"/>
      <c r="S610" s="186"/>
      <c r="T610" s="92"/>
      <c r="U610" s="88"/>
      <c r="V610" s="186"/>
      <c r="W610" s="74"/>
      <c r="X610" s="74"/>
      <c r="Y610" s="31"/>
      <c r="Z610" s="109"/>
      <c r="AA610" s="146"/>
      <c r="AB610" s="221" t="s">
        <v>379</v>
      </c>
      <c r="AD610" s="1"/>
    </row>
    <row r="611" spans="1:32" s="22" customFormat="1" ht="15" customHeight="1">
      <c r="A611" s="9" t="s">
        <v>34</v>
      </c>
      <c r="B611" s="143"/>
      <c r="C611" s="142"/>
      <c r="D611" s="143"/>
      <c r="E611" s="144"/>
      <c r="F611" s="143"/>
      <c r="G611" s="143"/>
      <c r="H611" s="143"/>
      <c r="I611" s="143"/>
      <c r="J611" s="143"/>
      <c r="K611" s="143"/>
      <c r="L611" s="143"/>
      <c r="M611" s="143"/>
      <c r="N611" s="144"/>
      <c r="O611" s="143"/>
      <c r="P611" s="144"/>
      <c r="Q611" s="144"/>
      <c r="R611" s="144"/>
      <c r="S611" s="144"/>
      <c r="T611" s="166"/>
      <c r="U611" s="166"/>
      <c r="V611" s="144"/>
      <c r="W611" s="145"/>
      <c r="X611" s="145"/>
      <c r="Y611" s="141"/>
      <c r="Z611" s="146"/>
      <c r="AA611" s="109"/>
      <c r="AB611" s="221" t="s">
        <v>380</v>
      </c>
    </row>
    <row r="612" spans="1:32" s="22" customFormat="1" ht="15" customHeight="1">
      <c r="A612" s="7" t="s">
        <v>47</v>
      </c>
      <c r="B612" s="34"/>
      <c r="C612" s="29"/>
      <c r="D612" s="34"/>
      <c r="E612" s="36"/>
      <c r="F612" s="34"/>
      <c r="G612" s="34"/>
      <c r="H612" s="34"/>
      <c r="I612" s="34"/>
      <c r="J612" s="34"/>
      <c r="K612" s="34"/>
      <c r="L612" s="34"/>
      <c r="M612" s="34"/>
      <c r="N612" s="36"/>
      <c r="O612" s="34"/>
      <c r="P612" s="136"/>
      <c r="Q612" s="136"/>
      <c r="R612" s="186"/>
      <c r="S612" s="186"/>
      <c r="T612" s="92"/>
      <c r="U612" s="92"/>
      <c r="V612" s="186"/>
      <c r="W612" s="74"/>
      <c r="X612" s="74"/>
      <c r="Y612" s="31"/>
      <c r="Z612" s="109"/>
      <c r="AA612" s="146"/>
      <c r="AB612" s="221" t="s">
        <v>381</v>
      </c>
      <c r="AC612" s="1"/>
    </row>
    <row r="613" spans="1:32" s="22" customFormat="1" ht="15" customHeight="1">
      <c r="A613" s="9" t="s">
        <v>29</v>
      </c>
      <c r="B613" s="33"/>
      <c r="C613" s="28"/>
      <c r="D613" s="18"/>
      <c r="E613" s="37"/>
      <c r="F613" s="33"/>
      <c r="G613" s="33"/>
      <c r="H613" s="33"/>
      <c r="I613" s="33"/>
      <c r="J613" s="33"/>
      <c r="K613" s="33"/>
      <c r="L613" s="33"/>
      <c r="M613" s="33"/>
      <c r="N613" s="37"/>
      <c r="O613" s="33"/>
      <c r="P613" s="135"/>
      <c r="Q613" s="135"/>
      <c r="R613" s="185"/>
      <c r="S613" s="185"/>
      <c r="T613" s="90"/>
      <c r="U613" s="87"/>
      <c r="V613" s="185"/>
      <c r="W613" s="75"/>
      <c r="X613" s="75"/>
      <c r="Y613" s="30"/>
      <c r="Z613" s="109"/>
      <c r="AA613" s="109"/>
      <c r="AB613" s="221" t="s">
        <v>382</v>
      </c>
    </row>
    <row r="614" spans="1:32" s="22" customFormat="1" ht="15" customHeight="1">
      <c r="A614" s="7" t="s">
        <v>60</v>
      </c>
      <c r="B614" s="149"/>
      <c r="C614" s="148"/>
      <c r="D614" s="143"/>
      <c r="E614" s="150"/>
      <c r="F614" s="149"/>
      <c r="G614" s="149"/>
      <c r="H614" s="149"/>
      <c r="I614" s="149"/>
      <c r="J614" s="149"/>
      <c r="K614" s="149"/>
      <c r="L614" s="149"/>
      <c r="M614" s="149"/>
      <c r="N614" s="150"/>
      <c r="O614" s="149"/>
      <c r="P614" s="150"/>
      <c r="Q614" s="150"/>
      <c r="R614" s="150"/>
      <c r="S614" s="150"/>
      <c r="T614" s="164"/>
      <c r="U614" s="171"/>
      <c r="V614" s="150"/>
      <c r="W614" s="151"/>
      <c r="X614" s="151"/>
      <c r="Y614" s="147"/>
      <c r="Z614" s="146"/>
      <c r="AA614" s="146"/>
      <c r="AB614" s="221" t="s">
        <v>383</v>
      </c>
      <c r="AC614" s="1"/>
    </row>
    <row r="615" spans="1:32" s="22" customFormat="1" ht="15" customHeight="1">
      <c r="A615" s="9" t="s">
        <v>46</v>
      </c>
      <c r="B615" s="143"/>
      <c r="C615" s="142"/>
      <c r="D615" s="143"/>
      <c r="E615" s="144"/>
      <c r="F615" s="143"/>
      <c r="G615" s="143"/>
      <c r="H615" s="143"/>
      <c r="I615" s="143"/>
      <c r="J615" s="143"/>
      <c r="K615" s="143"/>
      <c r="L615" s="143"/>
      <c r="M615" s="143"/>
      <c r="N615" s="144"/>
      <c r="O615" s="143"/>
      <c r="P615" s="144"/>
      <c r="Q615" s="144"/>
      <c r="R615" s="144"/>
      <c r="S615" s="144"/>
      <c r="T615" s="166"/>
      <c r="U615" s="166"/>
      <c r="V615" s="144"/>
      <c r="W615" s="145"/>
      <c r="X615" s="145"/>
      <c r="Y615" s="141"/>
      <c r="Z615" s="146"/>
      <c r="AA615" s="109"/>
      <c r="AB615" s="221" t="s">
        <v>384</v>
      </c>
    </row>
    <row r="616" spans="1:32" s="22" customFormat="1" ht="15" customHeight="1">
      <c r="A616" s="7" t="s">
        <v>35</v>
      </c>
      <c r="B616" s="34"/>
      <c r="C616" s="29"/>
      <c r="D616" s="34"/>
      <c r="E616" s="36"/>
      <c r="F616" s="34"/>
      <c r="G616" s="34"/>
      <c r="H616" s="34"/>
      <c r="I616" s="34"/>
      <c r="J616" s="34"/>
      <c r="K616" s="34"/>
      <c r="L616" s="34"/>
      <c r="M616" s="34"/>
      <c r="N616" s="36"/>
      <c r="O616" s="34"/>
      <c r="P616" s="136"/>
      <c r="Q616" s="136"/>
      <c r="R616" s="186"/>
      <c r="S616" s="186"/>
      <c r="T616" s="92"/>
      <c r="U616" s="92"/>
      <c r="V616" s="186"/>
      <c r="W616" s="74"/>
      <c r="X616" s="74"/>
      <c r="Y616" s="31"/>
      <c r="Z616" s="109"/>
      <c r="AA616" s="146"/>
      <c r="AB616" s="221" t="s">
        <v>385</v>
      </c>
      <c r="AC616" s="134"/>
    </row>
    <row r="617" spans="1:32" s="22" customFormat="1" ht="15" customHeight="1">
      <c r="A617" s="9" t="s">
        <v>31</v>
      </c>
      <c r="B617" s="33"/>
      <c r="C617" s="28"/>
      <c r="D617" s="33"/>
      <c r="E617" s="37"/>
      <c r="F617" s="33"/>
      <c r="G617" s="33"/>
      <c r="H617" s="33"/>
      <c r="I617" s="33"/>
      <c r="J617" s="33"/>
      <c r="K617" s="33"/>
      <c r="L617" s="33"/>
      <c r="M617" s="33"/>
      <c r="N617" s="37"/>
      <c r="O617" s="33"/>
      <c r="P617" s="135"/>
      <c r="Q617" s="135"/>
      <c r="R617" s="185"/>
      <c r="S617" s="185"/>
      <c r="T617" s="90"/>
      <c r="U617" s="87"/>
      <c r="V617" s="185"/>
      <c r="W617" s="75"/>
      <c r="X617" s="75"/>
      <c r="Y617" s="30"/>
      <c r="Z617" s="140"/>
      <c r="AA617" s="109"/>
      <c r="AB617" s="221" t="s">
        <v>386</v>
      </c>
      <c r="AC617" s="132"/>
      <c r="AE617" s="134"/>
      <c r="AF617" s="134"/>
    </row>
    <row r="618" spans="1:32" s="22" customFormat="1" ht="15" customHeight="1">
      <c r="A618" s="7" t="s">
        <v>36</v>
      </c>
      <c r="B618" s="149"/>
      <c r="C618" s="148"/>
      <c r="D618" s="149"/>
      <c r="E618" s="150"/>
      <c r="F618" s="149"/>
      <c r="G618" s="149"/>
      <c r="H618" s="149"/>
      <c r="I618" s="149"/>
      <c r="J618" s="149"/>
      <c r="K618" s="149"/>
      <c r="L618" s="149"/>
      <c r="M618" s="149"/>
      <c r="N618" s="150"/>
      <c r="O618" s="149"/>
      <c r="P618" s="150"/>
      <c r="Q618" s="150"/>
      <c r="R618" s="150"/>
      <c r="S618" s="150"/>
      <c r="T618" s="164"/>
      <c r="U618" s="171"/>
      <c r="V618" s="150"/>
      <c r="W618" s="151"/>
      <c r="X618" s="151"/>
      <c r="Y618" s="147"/>
      <c r="Z618" s="152"/>
      <c r="AA618" s="109"/>
      <c r="AB618" s="218" t="s">
        <v>147</v>
      </c>
      <c r="AE618" s="132"/>
      <c r="AF618" s="132"/>
    </row>
    <row r="619" spans="1:32" s="22" customFormat="1" ht="15" customHeight="1">
      <c r="A619" s="9" t="s">
        <v>30</v>
      </c>
      <c r="B619" s="143"/>
      <c r="C619" s="142"/>
      <c r="D619" s="143"/>
      <c r="E619" s="144"/>
      <c r="F619" s="143"/>
      <c r="G619" s="143"/>
      <c r="H619" s="143"/>
      <c r="I619" s="143"/>
      <c r="J619" s="143"/>
      <c r="K619" s="143"/>
      <c r="L619" s="143"/>
      <c r="M619" s="143"/>
      <c r="N619" s="144"/>
      <c r="O619" s="143"/>
      <c r="P619" s="144"/>
      <c r="Q619" s="144"/>
      <c r="R619" s="144"/>
      <c r="S619" s="144"/>
      <c r="T619" s="166"/>
      <c r="U619" s="166"/>
      <c r="V619" s="144"/>
      <c r="W619" s="145"/>
      <c r="X619" s="145"/>
      <c r="Y619" s="141"/>
      <c r="Z619" s="152"/>
      <c r="AA619" s="146"/>
      <c r="AB619" s="221" t="s">
        <v>387</v>
      </c>
      <c r="AE619" s="132"/>
      <c r="AF619" s="132"/>
    </row>
    <row r="620" spans="1:32" s="22" customFormat="1" ht="15" customHeight="1">
      <c r="A620" s="7" t="s">
        <v>33</v>
      </c>
      <c r="B620" s="34"/>
      <c r="C620" s="29"/>
      <c r="D620" s="34"/>
      <c r="E620" s="36"/>
      <c r="F620" s="34"/>
      <c r="G620" s="34"/>
      <c r="H620" s="34"/>
      <c r="I620" s="34"/>
      <c r="J620" s="34"/>
      <c r="K620" s="34"/>
      <c r="L620" s="34"/>
      <c r="M620" s="34"/>
      <c r="N620" s="36"/>
      <c r="O620" s="34"/>
      <c r="P620" s="136"/>
      <c r="Q620" s="136"/>
      <c r="R620" s="186"/>
      <c r="S620" s="186"/>
      <c r="T620" s="92"/>
      <c r="U620" s="92"/>
      <c r="V620" s="186"/>
      <c r="W620" s="74"/>
      <c r="X620" s="74"/>
      <c r="Y620" s="31"/>
      <c r="Z620" s="140"/>
      <c r="AC620" s="132"/>
      <c r="AE620" s="134"/>
      <c r="AF620" s="134"/>
    </row>
    <row r="621" spans="1:32" s="22" customFormat="1" ht="15" customHeight="1">
      <c r="A621" s="9" t="s">
        <v>54</v>
      </c>
      <c r="B621" s="143"/>
      <c r="C621" s="142"/>
      <c r="D621" s="143"/>
      <c r="E621" s="144"/>
      <c r="F621" s="143"/>
      <c r="G621" s="143"/>
      <c r="H621" s="143"/>
      <c r="I621" s="143"/>
      <c r="J621" s="143"/>
      <c r="K621" s="143"/>
      <c r="L621" s="143"/>
      <c r="M621" s="143"/>
      <c r="N621" s="144"/>
      <c r="O621" s="143"/>
      <c r="P621" s="144"/>
      <c r="Q621" s="144"/>
      <c r="R621" s="144"/>
      <c r="S621" s="144"/>
      <c r="T621" s="166"/>
      <c r="U621" s="170"/>
      <c r="V621" s="144"/>
      <c r="W621" s="145"/>
      <c r="X621" s="145"/>
      <c r="Y621" s="141"/>
      <c r="Z621" s="152"/>
      <c r="AC621" s="134"/>
      <c r="AE621" s="132"/>
      <c r="AF621" s="132"/>
    </row>
    <row r="622" spans="1:32" s="22" customFormat="1" ht="15" customHeight="1">
      <c r="A622" s="7" t="s">
        <v>43</v>
      </c>
      <c r="B622" s="34"/>
      <c r="C622" s="29"/>
      <c r="D622" s="34"/>
      <c r="E622" s="36"/>
      <c r="F622" s="34"/>
      <c r="G622" s="34"/>
      <c r="H622" s="34"/>
      <c r="I622" s="34"/>
      <c r="J622" s="34"/>
      <c r="K622" s="34"/>
      <c r="L622" s="34"/>
      <c r="M622" s="34"/>
      <c r="N622" s="36"/>
      <c r="O622" s="34"/>
      <c r="P622" s="136"/>
      <c r="Q622" s="136"/>
      <c r="R622" s="186"/>
      <c r="S622" s="186"/>
      <c r="T622" s="92"/>
      <c r="U622" s="88"/>
      <c r="V622" s="186"/>
      <c r="W622" s="74"/>
      <c r="X622" s="74"/>
      <c r="Y622" s="31"/>
      <c r="Z622" s="140"/>
      <c r="AC622" s="134"/>
      <c r="AE622" s="134"/>
      <c r="AF622" s="134"/>
    </row>
    <row r="623" spans="1:32" s="22" customFormat="1" ht="15" customHeight="1">
      <c r="A623" s="9" t="s">
        <v>39</v>
      </c>
      <c r="B623" s="33"/>
      <c r="C623" s="28"/>
      <c r="D623" s="33"/>
      <c r="E623" s="37"/>
      <c r="F623" s="33"/>
      <c r="G623" s="33"/>
      <c r="H623" s="33"/>
      <c r="I623" s="33"/>
      <c r="J623" s="33"/>
      <c r="K623" s="33"/>
      <c r="L623" s="33"/>
      <c r="M623" s="33"/>
      <c r="N623" s="37"/>
      <c r="O623" s="33"/>
      <c r="P623" s="135"/>
      <c r="Q623" s="135"/>
      <c r="R623" s="185"/>
      <c r="S623" s="185"/>
      <c r="T623" s="90"/>
      <c r="U623" s="90"/>
      <c r="V623" s="185"/>
      <c r="W623" s="75"/>
      <c r="X623" s="75"/>
      <c r="Y623" s="30"/>
      <c r="Z623" s="140"/>
      <c r="AC623" s="134"/>
      <c r="AE623" s="134"/>
      <c r="AF623" s="134"/>
    </row>
    <row r="624" spans="1:32" s="22" customFormat="1" ht="15" customHeight="1">
      <c r="A624" s="7" t="s">
        <v>38</v>
      </c>
      <c r="B624" s="149"/>
      <c r="C624" s="148"/>
      <c r="D624" s="149"/>
      <c r="E624" s="150"/>
      <c r="F624" s="149"/>
      <c r="G624" s="149"/>
      <c r="H624" s="149"/>
      <c r="I624" s="149"/>
      <c r="J624" s="149"/>
      <c r="K624" s="149"/>
      <c r="L624" s="149"/>
      <c r="M624" s="149"/>
      <c r="N624" s="150"/>
      <c r="O624" s="149"/>
      <c r="P624" s="150"/>
      <c r="Q624" s="150"/>
      <c r="R624" s="150"/>
      <c r="S624" s="150"/>
      <c r="T624" s="164"/>
      <c r="U624" s="164"/>
      <c r="V624" s="150"/>
      <c r="W624" s="151"/>
      <c r="X624" s="151"/>
      <c r="Y624" s="147"/>
      <c r="Z624" s="152"/>
      <c r="AC624" s="1"/>
      <c r="AE624" s="132"/>
      <c r="AF624" s="132"/>
    </row>
    <row r="625" spans="1:32" s="22" customFormat="1" ht="15" customHeight="1">
      <c r="A625" s="42" t="s">
        <v>56</v>
      </c>
      <c r="B625" s="149"/>
      <c r="C625" s="148"/>
      <c r="D625" s="149"/>
      <c r="E625" s="150"/>
      <c r="F625" s="149"/>
      <c r="G625" s="149"/>
      <c r="H625" s="149"/>
      <c r="I625" s="149"/>
      <c r="J625" s="149"/>
      <c r="K625" s="149"/>
      <c r="L625" s="149"/>
      <c r="M625" s="149"/>
      <c r="N625" s="150"/>
      <c r="O625" s="149"/>
      <c r="P625" s="150"/>
      <c r="Q625" s="150"/>
      <c r="R625" s="150"/>
      <c r="S625" s="150"/>
      <c r="T625" s="164"/>
      <c r="U625" s="171"/>
      <c r="V625" s="150"/>
      <c r="W625" s="151"/>
      <c r="X625" s="151"/>
      <c r="Y625" s="147"/>
      <c r="Z625" s="152"/>
      <c r="AC625" s="1"/>
      <c r="AE625" s="132"/>
      <c r="AF625" s="132"/>
    </row>
    <row r="626" spans="1:32" s="22" customFormat="1" ht="15" customHeight="1">
      <c r="A626" s="7" t="s">
        <v>55</v>
      </c>
      <c r="B626" s="34"/>
      <c r="C626" s="29"/>
      <c r="D626" s="34"/>
      <c r="E626" s="36"/>
      <c r="F626" s="34"/>
      <c r="G626" s="34"/>
      <c r="H626" s="34"/>
      <c r="I626" s="34"/>
      <c r="J626" s="34"/>
      <c r="K626" s="34"/>
      <c r="L626" s="34"/>
      <c r="M626" s="34"/>
      <c r="N626" s="36"/>
      <c r="O626" s="34"/>
      <c r="P626" s="136"/>
      <c r="Q626" s="136"/>
      <c r="R626" s="186"/>
      <c r="S626" s="186"/>
      <c r="T626" s="92"/>
      <c r="U626" s="88"/>
      <c r="V626" s="186"/>
      <c r="W626" s="74"/>
      <c r="X626" s="74"/>
      <c r="Y626" s="31"/>
      <c r="Z626" s="140"/>
      <c r="AC626" s="1"/>
      <c r="AE626" s="134"/>
      <c r="AF626" s="134"/>
    </row>
    <row r="627" spans="1:32" s="22" customFormat="1" ht="15" customHeight="1">
      <c r="A627" s="9" t="s">
        <v>59</v>
      </c>
      <c r="B627" s="143"/>
      <c r="C627" s="142"/>
      <c r="D627" s="143"/>
      <c r="E627" s="144"/>
      <c r="F627" s="143"/>
      <c r="G627" s="143"/>
      <c r="H627" s="143"/>
      <c r="I627" s="143"/>
      <c r="J627" s="143"/>
      <c r="K627" s="143"/>
      <c r="L627" s="143"/>
      <c r="M627" s="143"/>
      <c r="N627" s="144"/>
      <c r="O627" s="143"/>
      <c r="P627" s="144"/>
      <c r="Q627" s="144"/>
      <c r="R627" s="144"/>
      <c r="S627" s="144"/>
      <c r="T627" s="166"/>
      <c r="U627" s="166"/>
      <c r="V627" s="144"/>
      <c r="W627" s="145"/>
      <c r="X627" s="145"/>
      <c r="Y627" s="141"/>
      <c r="Z627" s="152"/>
      <c r="AC627" s="1"/>
      <c r="AE627" s="132"/>
      <c r="AF627" s="132"/>
    </row>
    <row r="628" spans="1:32" s="22" customFormat="1" ht="15" customHeight="1">
      <c r="A628" s="14" t="s">
        <v>50</v>
      </c>
      <c r="B628" s="34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6"/>
      <c r="O628" s="34"/>
      <c r="P628" s="136"/>
      <c r="Q628" s="136"/>
      <c r="R628" s="186"/>
      <c r="S628" s="186"/>
      <c r="T628" s="92"/>
      <c r="U628" s="92"/>
      <c r="V628" s="186"/>
      <c r="W628" s="74"/>
      <c r="X628" s="74"/>
      <c r="Y628" s="31"/>
      <c r="Z628" s="140"/>
      <c r="AE628" s="134"/>
      <c r="AF628" s="134"/>
    </row>
    <row r="629" spans="1:32" s="22" customFormat="1" ht="15" customHeight="1">
      <c r="A629" s="9" t="s">
        <v>57</v>
      </c>
      <c r="B629" s="149"/>
      <c r="C629" s="148"/>
      <c r="D629" s="149"/>
      <c r="E629" s="150"/>
      <c r="F629" s="149"/>
      <c r="G629" s="149"/>
      <c r="H629" s="149"/>
      <c r="I629" s="149"/>
      <c r="J629" s="149"/>
      <c r="K629" s="149"/>
      <c r="L629" s="149"/>
      <c r="M629" s="149"/>
      <c r="N629" s="150"/>
      <c r="O629" s="149"/>
      <c r="P629" s="150"/>
      <c r="Q629" s="150"/>
      <c r="R629" s="150"/>
      <c r="S629" s="150"/>
      <c r="T629" s="164"/>
      <c r="U629" s="171"/>
      <c r="V629" s="150"/>
      <c r="W629" s="151"/>
      <c r="X629" s="151"/>
      <c r="Y629" s="147"/>
      <c r="Z629" s="152"/>
      <c r="AE629" s="132"/>
      <c r="AF629" s="132"/>
    </row>
    <row r="630" spans="1:32" s="22" customFormat="1" ht="15" customHeight="1">
      <c r="A630" s="14" t="s">
        <v>53</v>
      </c>
      <c r="B630" s="34"/>
      <c r="C630" s="29"/>
      <c r="D630" s="34"/>
      <c r="E630" s="36"/>
      <c r="F630" s="34"/>
      <c r="G630" s="34"/>
      <c r="H630" s="34"/>
      <c r="I630" s="34"/>
      <c r="J630" s="34"/>
      <c r="K630" s="34"/>
      <c r="L630" s="34"/>
      <c r="M630" s="34"/>
      <c r="N630" s="36"/>
      <c r="O630" s="34"/>
      <c r="P630" s="136"/>
      <c r="Q630" s="136"/>
      <c r="R630" s="186"/>
      <c r="S630" s="186"/>
      <c r="T630" s="92"/>
      <c r="U630" s="88"/>
      <c r="V630" s="186"/>
      <c r="W630" s="74"/>
      <c r="X630" s="74"/>
      <c r="Y630" s="31"/>
      <c r="Z630" s="140"/>
      <c r="AE630" s="134"/>
      <c r="AF630" s="134"/>
    </row>
    <row r="631" spans="1:32" s="22" customFormat="1" ht="15" customHeight="1">
      <c r="A631" s="49">
        <f>+A606+1</f>
        <v>46013</v>
      </c>
      <c r="B631" s="25"/>
      <c r="C631" s="25"/>
      <c r="D631" s="93"/>
      <c r="E631" s="25"/>
      <c r="F631" s="93"/>
      <c r="G631" s="93"/>
      <c r="H631" s="93"/>
      <c r="I631" s="93"/>
      <c r="J631" s="93"/>
      <c r="K631" s="57"/>
      <c r="L631" s="93"/>
      <c r="M631" s="131"/>
      <c r="N631" s="93"/>
      <c r="O631" s="93"/>
      <c r="P631" s="137"/>
      <c r="Q631" s="138"/>
      <c r="R631" s="200"/>
      <c r="S631" s="199"/>
      <c r="T631" s="57"/>
      <c r="U631" s="57"/>
      <c r="V631" s="200"/>
      <c r="W631" s="57"/>
      <c r="X631" s="57"/>
      <c r="Y631" s="93"/>
      <c r="Z631" s="140"/>
      <c r="AE631" s="134"/>
      <c r="AF631" s="134"/>
    </row>
    <row r="632" spans="1:32" s="22" customFormat="1" ht="15" customHeight="1">
      <c r="A632" s="9" t="s">
        <v>42</v>
      </c>
      <c r="B632" s="143"/>
      <c r="C632" s="142"/>
      <c r="D632" s="143"/>
      <c r="E632" s="144"/>
      <c r="F632" s="143"/>
      <c r="G632" s="143"/>
      <c r="H632" s="143"/>
      <c r="I632" s="143"/>
      <c r="J632" s="143"/>
      <c r="K632" s="143"/>
      <c r="L632" s="143"/>
      <c r="M632" s="143"/>
      <c r="N632" s="144"/>
      <c r="O632" s="143"/>
      <c r="P632" s="144"/>
      <c r="Q632" s="144"/>
      <c r="R632" s="144"/>
      <c r="S632" s="144"/>
      <c r="T632" s="166"/>
      <c r="U632" s="166"/>
      <c r="V632" s="144"/>
      <c r="W632" s="145"/>
      <c r="X632" s="145"/>
      <c r="Y632" s="141"/>
      <c r="Z632" s="152"/>
      <c r="AE632" s="132"/>
      <c r="AF632" s="132"/>
    </row>
    <row r="633" spans="1:32" s="22" customFormat="1" ht="15" customHeight="1">
      <c r="A633" s="7" t="s">
        <v>49</v>
      </c>
      <c r="B633" s="34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6"/>
      <c r="O633" s="34"/>
      <c r="P633" s="136"/>
      <c r="Q633" s="136"/>
      <c r="R633" s="186"/>
      <c r="S633" s="186"/>
      <c r="T633" s="92"/>
      <c r="U633" s="92"/>
      <c r="V633" s="186"/>
      <c r="W633" s="74"/>
      <c r="X633" s="74"/>
      <c r="Y633" s="31"/>
      <c r="AD633" s="27"/>
    </row>
    <row r="634" spans="1:32" s="22" customFormat="1" ht="15" customHeight="1">
      <c r="A634" s="26"/>
      <c r="B634" s="2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26"/>
      <c r="X634" s="26"/>
      <c r="Y634" s="26"/>
      <c r="AD634"/>
    </row>
    <row r="635" spans="1:32" ht="15" customHeight="1">
      <c r="A635" s="16" t="s">
        <v>22</v>
      </c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AC635" s="22"/>
      <c r="AD635" s="27"/>
    </row>
    <row r="636" spans="1:32" ht="15" customHeight="1">
      <c r="A636" s="16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AC636" s="22"/>
      <c r="AD636" s="27"/>
    </row>
    <row r="637" spans="1:32" ht="15" customHeight="1">
      <c r="A637" s="13" t="s">
        <v>23</v>
      </c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AC637" s="22"/>
      <c r="AD637"/>
    </row>
    <row r="638" spans="1:32" ht="15" customHeight="1">
      <c r="A638" s="13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32" ht="15" customHeight="1">
      <c r="A639" s="13" t="s">
        <v>15</v>
      </c>
      <c r="B639" s="18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32" ht="15" customHeight="1" thickBot="1">
      <c r="A640" s="20">
        <f>+A598+7</f>
        <v>46016</v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8" ht="15" customHeight="1">
      <c r="A641" s="42" t="s">
        <v>60</v>
      </c>
      <c r="B641" s="28"/>
      <c r="C641" s="28"/>
      <c r="D641" s="33"/>
      <c r="E641" s="37"/>
      <c r="F641" s="33"/>
      <c r="G641" s="33"/>
      <c r="H641" s="33"/>
      <c r="I641" s="33"/>
      <c r="J641" s="33"/>
      <c r="K641" s="33"/>
      <c r="L641" s="33"/>
      <c r="M641" s="30"/>
      <c r="N641" s="37"/>
      <c r="O641" s="33"/>
      <c r="P641" s="201"/>
      <c r="Q641" s="201"/>
      <c r="R641" s="201"/>
      <c r="S641" s="201"/>
      <c r="T641" s="90"/>
      <c r="U641" s="87"/>
      <c r="V641" s="201"/>
      <c r="W641" s="75"/>
      <c r="X641" s="75"/>
      <c r="Y641" s="30"/>
      <c r="AA641" s="146"/>
      <c r="AB641" s="220" t="s">
        <v>15</v>
      </c>
    </row>
    <row r="642" spans="1:28" s="22" customFormat="1" ht="15" customHeight="1">
      <c r="A642" s="20" t="s">
        <v>51</v>
      </c>
      <c r="B642" s="148"/>
      <c r="C642" s="148"/>
      <c r="D642" s="149"/>
      <c r="E642" s="150"/>
      <c r="F642" s="149"/>
      <c r="G642" s="149"/>
      <c r="H642" s="149"/>
      <c r="I642" s="149"/>
      <c r="J642" s="149"/>
      <c r="K642" s="149"/>
      <c r="L642" s="149"/>
      <c r="M642" s="147"/>
      <c r="N642" s="150"/>
      <c r="O642" s="149"/>
      <c r="P642" s="209"/>
      <c r="Q642" s="209"/>
      <c r="R642" s="209"/>
      <c r="S642" s="209"/>
      <c r="T642" s="164"/>
      <c r="U642" s="171"/>
      <c r="V642" s="209"/>
      <c r="W642" s="151"/>
      <c r="X642" s="151"/>
      <c r="Y642" s="147"/>
      <c r="AA642" s="109"/>
      <c r="AB642" s="218" t="s">
        <v>388</v>
      </c>
    </row>
    <row r="643" spans="1:28" s="22" customFormat="1" ht="15" customHeight="1">
      <c r="A643" s="9" t="s">
        <v>55</v>
      </c>
      <c r="B643" s="28"/>
      <c r="C643" s="28"/>
      <c r="D643" s="33"/>
      <c r="E643" s="37"/>
      <c r="F643" s="33"/>
      <c r="G643" s="33"/>
      <c r="H643" s="33"/>
      <c r="I643" s="33"/>
      <c r="J643" s="33"/>
      <c r="K643" s="33"/>
      <c r="L643" s="33"/>
      <c r="M643" s="30"/>
      <c r="N643" s="37"/>
      <c r="O643" s="33"/>
      <c r="P643" s="201"/>
      <c r="Q643" s="201"/>
      <c r="R643" s="201"/>
      <c r="S643" s="201"/>
      <c r="T643" s="90"/>
      <c r="U643" s="90"/>
      <c r="V643" s="201"/>
      <c r="W643" s="75"/>
      <c r="X643" s="75"/>
      <c r="Y643" s="30"/>
      <c r="AA643" s="109"/>
      <c r="AB643" s="221" t="s">
        <v>389</v>
      </c>
    </row>
    <row r="644" spans="1:28" s="22" customFormat="1" ht="15" customHeight="1">
      <c r="A644" s="7" t="s">
        <v>31</v>
      </c>
      <c r="B644" s="148"/>
      <c r="C644" s="148"/>
      <c r="D644" s="149"/>
      <c r="E644" s="150"/>
      <c r="F644" s="149"/>
      <c r="G644" s="149"/>
      <c r="H644" s="149"/>
      <c r="I644" s="149"/>
      <c r="J644" s="149"/>
      <c r="K644" s="149"/>
      <c r="L644" s="149"/>
      <c r="M644" s="147"/>
      <c r="N644" s="150"/>
      <c r="O644" s="149"/>
      <c r="P644" s="209"/>
      <c r="Q644" s="209"/>
      <c r="R644" s="209"/>
      <c r="S644" s="209"/>
      <c r="T644" s="164"/>
      <c r="U644" s="164"/>
      <c r="V644" s="209"/>
      <c r="W644" s="151"/>
      <c r="X644" s="151"/>
      <c r="Y644" s="147"/>
      <c r="AB644" s="221" t="s">
        <v>390</v>
      </c>
    </row>
    <row r="645" spans="1:28" s="22" customFormat="1" ht="15" customHeight="1">
      <c r="A645" s="9" t="s">
        <v>38</v>
      </c>
      <c r="B645" s="28"/>
      <c r="C645" s="28"/>
      <c r="D645" s="33"/>
      <c r="E645" s="37"/>
      <c r="F645" s="33"/>
      <c r="G645" s="33"/>
      <c r="H645" s="33"/>
      <c r="I645" s="33"/>
      <c r="J645" s="33"/>
      <c r="K645" s="33"/>
      <c r="L645" s="33"/>
      <c r="M645" s="30"/>
      <c r="N645" s="37"/>
      <c r="O645" s="33"/>
      <c r="P645" s="201"/>
      <c r="Q645" s="201"/>
      <c r="R645" s="201"/>
      <c r="S645" s="201"/>
      <c r="T645" s="90"/>
      <c r="U645" s="87"/>
      <c r="V645" s="201"/>
      <c r="W645" s="75"/>
      <c r="X645" s="75"/>
      <c r="Y645" s="30"/>
      <c r="AA645"/>
      <c r="AB645" s="221" t="s">
        <v>391</v>
      </c>
    </row>
    <row r="646" spans="1:28" s="22" customFormat="1" ht="15" customHeight="1">
      <c r="A646" s="7" t="s">
        <v>30</v>
      </c>
      <c r="B646" s="148"/>
      <c r="C646" s="148"/>
      <c r="D646" s="149"/>
      <c r="E646" s="150"/>
      <c r="F646" s="149"/>
      <c r="G646" s="149"/>
      <c r="H646" s="149"/>
      <c r="I646" s="149"/>
      <c r="J646" s="149"/>
      <c r="K646" s="149"/>
      <c r="L646" s="149"/>
      <c r="M646" s="147"/>
      <c r="N646" s="150"/>
      <c r="O646" s="149"/>
      <c r="P646" s="209"/>
      <c r="Q646" s="209"/>
      <c r="R646" s="209"/>
      <c r="S646" s="209"/>
      <c r="T646" s="164"/>
      <c r="U646" s="171"/>
      <c r="V646" s="209"/>
      <c r="W646" s="151"/>
      <c r="X646" s="151"/>
      <c r="Y646" s="147"/>
      <c r="AA646" s="27"/>
      <c r="AB646" s="218" t="s">
        <v>392</v>
      </c>
    </row>
    <row r="647" spans="1:28" s="22" customFormat="1" ht="15" customHeight="1">
      <c r="A647" s="15">
        <f>+A640+2</f>
        <v>46018</v>
      </c>
      <c r="B647" s="25"/>
      <c r="C647" s="25"/>
      <c r="D647" s="93"/>
      <c r="E647" s="101"/>
      <c r="F647" s="101"/>
      <c r="G647" s="101"/>
      <c r="H647" s="93"/>
      <c r="I647" s="93"/>
      <c r="J647" s="93"/>
      <c r="K647" s="93"/>
      <c r="L647" s="93"/>
      <c r="M647" s="93"/>
      <c r="N647" s="93"/>
      <c r="O647" s="93"/>
      <c r="P647" s="204"/>
      <c r="Q647" s="204"/>
      <c r="R647" s="204"/>
      <c r="S647" s="204"/>
      <c r="T647" s="203"/>
      <c r="U647" s="203"/>
      <c r="V647" s="203"/>
      <c r="W647" s="203"/>
      <c r="X647" s="203"/>
      <c r="Y647" s="93"/>
      <c r="AA647"/>
      <c r="AB647" s="221" t="s">
        <v>393</v>
      </c>
    </row>
    <row r="648" spans="1:28" s="22" customFormat="1" ht="15" customHeight="1">
      <c r="A648" s="68" t="s">
        <v>40</v>
      </c>
      <c r="B648" s="142"/>
      <c r="C648" s="142"/>
      <c r="D648" s="143"/>
      <c r="E648" s="144"/>
      <c r="F648" s="143"/>
      <c r="G648" s="143"/>
      <c r="H648" s="143"/>
      <c r="I648" s="143"/>
      <c r="J648" s="143"/>
      <c r="K648" s="143"/>
      <c r="L648" s="143"/>
      <c r="M648" s="141"/>
      <c r="N648" s="144"/>
      <c r="O648" s="143"/>
      <c r="P648" s="210"/>
      <c r="Q648" s="210"/>
      <c r="R648" s="210"/>
      <c r="S648" s="210"/>
      <c r="T648" s="166"/>
      <c r="U648" s="166"/>
      <c r="V648" s="210"/>
      <c r="W648" s="145"/>
      <c r="X648" s="145"/>
      <c r="Y648" s="141"/>
      <c r="AA648"/>
      <c r="AB648" s="221" t="s">
        <v>394</v>
      </c>
    </row>
    <row r="649" spans="1:28" s="22" customFormat="1" ht="15" customHeight="1">
      <c r="A649" s="7" t="s">
        <v>48</v>
      </c>
      <c r="B649" s="29"/>
      <c r="C649" s="29"/>
      <c r="D649" s="34"/>
      <c r="E649" s="36"/>
      <c r="F649" s="34"/>
      <c r="G649" s="34"/>
      <c r="H649" s="34"/>
      <c r="I649" s="34"/>
      <c r="J649" s="34"/>
      <c r="K649" s="34"/>
      <c r="L649" s="34"/>
      <c r="M649" s="31"/>
      <c r="N649" s="36"/>
      <c r="O649" s="34"/>
      <c r="P649" s="202"/>
      <c r="Q649" s="202"/>
      <c r="R649" s="202"/>
      <c r="S649" s="202"/>
      <c r="T649" s="92"/>
      <c r="U649" s="92"/>
      <c r="V649" s="202"/>
      <c r="W649" s="74"/>
      <c r="X649" s="74"/>
      <c r="Y649" s="31"/>
      <c r="Z649" s="109"/>
      <c r="AA649" s="27"/>
      <c r="AB649" s="221" t="s">
        <v>395</v>
      </c>
    </row>
    <row r="650" spans="1:28" s="22" customFormat="1" ht="15" customHeight="1">
      <c r="A650" s="9" t="s">
        <v>43</v>
      </c>
      <c r="B650" s="142"/>
      <c r="C650" s="142"/>
      <c r="D650" s="143"/>
      <c r="E650" s="144"/>
      <c r="F650" s="143"/>
      <c r="G650" s="143"/>
      <c r="H650" s="143"/>
      <c r="I650" s="143"/>
      <c r="J650" s="143"/>
      <c r="K650" s="143"/>
      <c r="L650" s="143"/>
      <c r="M650" s="141"/>
      <c r="N650" s="144"/>
      <c r="O650" s="143"/>
      <c r="P650" s="210"/>
      <c r="Q650" s="210"/>
      <c r="R650" s="210"/>
      <c r="S650" s="210"/>
      <c r="T650" s="166"/>
      <c r="U650" s="170"/>
      <c r="V650" s="210"/>
      <c r="W650" s="145"/>
      <c r="X650" s="145"/>
      <c r="Y650" s="141"/>
      <c r="Z650" s="146"/>
      <c r="AA650"/>
      <c r="AB650" s="221" t="s">
        <v>396</v>
      </c>
    </row>
    <row r="651" spans="1:28" s="22" customFormat="1" ht="15" customHeight="1">
      <c r="A651" s="7" t="s">
        <v>57</v>
      </c>
      <c r="B651" s="29"/>
      <c r="C651" s="29"/>
      <c r="D651" s="34"/>
      <c r="E651" s="36"/>
      <c r="F651" s="34"/>
      <c r="G651" s="34"/>
      <c r="H651" s="34"/>
      <c r="I651" s="34"/>
      <c r="J651" s="34"/>
      <c r="K651" s="34"/>
      <c r="L651" s="34"/>
      <c r="M651" s="31"/>
      <c r="N651" s="36"/>
      <c r="O651" s="34"/>
      <c r="P651" s="202"/>
      <c r="Q651" s="202"/>
      <c r="R651" s="202"/>
      <c r="S651" s="202"/>
      <c r="T651" s="92"/>
      <c r="U651" s="88"/>
      <c r="V651" s="202"/>
      <c r="W651" s="74"/>
      <c r="X651" s="74"/>
      <c r="Y651" s="31"/>
      <c r="Z651" s="109"/>
      <c r="AA651" s="27"/>
      <c r="AB651" s="221" t="s">
        <v>397</v>
      </c>
    </row>
    <row r="652" spans="1:28" s="22" customFormat="1" ht="15" customHeight="1">
      <c r="A652" s="9" t="s">
        <v>45</v>
      </c>
      <c r="B652" s="28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0"/>
      <c r="N652" s="37"/>
      <c r="O652" s="33"/>
      <c r="P652" s="201"/>
      <c r="Q652" s="201"/>
      <c r="R652" s="201"/>
      <c r="S652" s="201"/>
      <c r="T652" s="90"/>
      <c r="U652" s="90"/>
      <c r="V652" s="201"/>
      <c r="W652" s="75"/>
      <c r="X652" s="75"/>
      <c r="Y652" s="30"/>
      <c r="Z652" s="109"/>
      <c r="AA652" s="27"/>
      <c r="AB652" s="218" t="s">
        <v>148</v>
      </c>
    </row>
    <row r="653" spans="1:28" s="22" customFormat="1" ht="15" customHeight="1">
      <c r="A653" s="7" t="s">
        <v>37</v>
      </c>
      <c r="B653" s="148"/>
      <c r="C653" s="148"/>
      <c r="D653" s="149"/>
      <c r="E653" s="150"/>
      <c r="F653" s="149"/>
      <c r="G653" s="149"/>
      <c r="H653" s="149"/>
      <c r="I653" s="149"/>
      <c r="J653" s="149"/>
      <c r="K653" s="149"/>
      <c r="L653" s="149"/>
      <c r="M653" s="147"/>
      <c r="N653" s="150"/>
      <c r="O653" s="149"/>
      <c r="P653" s="209"/>
      <c r="Q653" s="209"/>
      <c r="R653" s="209"/>
      <c r="S653" s="209"/>
      <c r="T653" s="164"/>
      <c r="U653" s="164"/>
      <c r="V653" s="209"/>
      <c r="W653" s="151"/>
      <c r="X653" s="151"/>
      <c r="Y653" s="147"/>
      <c r="Z653" s="146"/>
      <c r="AA653"/>
      <c r="AB653" s="221" t="s">
        <v>398</v>
      </c>
    </row>
    <row r="654" spans="1:28" s="22" customFormat="1" ht="15" customHeight="1">
      <c r="A654" s="9" t="s">
        <v>50</v>
      </c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146"/>
      <c r="AA654"/>
      <c r="AB654" s="221" t="s">
        <v>399</v>
      </c>
    </row>
    <row r="655" spans="1:28" s="22" customFormat="1" ht="15" customHeight="1">
      <c r="A655" s="7" t="s">
        <v>29</v>
      </c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6"/>
      <c r="AA655"/>
      <c r="AB655" s="221" t="s">
        <v>400</v>
      </c>
    </row>
    <row r="656" spans="1:28" s="22" customFormat="1" ht="15" customHeight="1">
      <c r="A656" s="9" t="s">
        <v>36</v>
      </c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146"/>
      <c r="AA656"/>
      <c r="AB656" s="221" t="s">
        <v>401</v>
      </c>
    </row>
    <row r="657" spans="1:33" s="22" customFormat="1" ht="15" customHeight="1">
      <c r="A657" s="7" t="s">
        <v>59</v>
      </c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6"/>
      <c r="AA657"/>
      <c r="AB657" s="221" t="s">
        <v>402</v>
      </c>
    </row>
    <row r="658" spans="1:33" s="22" customFormat="1" ht="15" customHeight="1">
      <c r="A658" s="49">
        <f>+A647+1</f>
        <v>46019</v>
      </c>
      <c r="B658" s="25"/>
      <c r="C658" s="25"/>
      <c r="D658" s="25"/>
      <c r="E658" s="25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109"/>
      <c r="AA658"/>
      <c r="AB658" s="221" t="s">
        <v>403</v>
      </c>
    </row>
    <row r="659" spans="1:33" s="22" customFormat="1" ht="15" customHeight="1">
      <c r="A659" s="9" t="s">
        <v>56</v>
      </c>
      <c r="B659" s="142"/>
      <c r="C659" s="142"/>
      <c r="D659" s="143"/>
      <c r="E659" s="144"/>
      <c r="F659" s="143"/>
      <c r="G659" s="143"/>
      <c r="H659" s="143"/>
      <c r="I659" s="143"/>
      <c r="J659" s="143"/>
      <c r="K659" s="143"/>
      <c r="L659" s="143"/>
      <c r="M659" s="147"/>
      <c r="N659" s="144"/>
      <c r="O659" s="143"/>
      <c r="P659" s="210"/>
      <c r="Q659" s="210"/>
      <c r="R659" s="210"/>
      <c r="S659" s="210"/>
      <c r="T659" s="166"/>
      <c r="U659" s="171"/>
      <c r="V659" s="210"/>
      <c r="W659" s="145"/>
      <c r="X659" s="151"/>
      <c r="Y659" s="147"/>
      <c r="Z659" s="146"/>
      <c r="AA659" s="27"/>
      <c r="AB659" s="221" t="s">
        <v>404</v>
      </c>
    </row>
    <row r="660" spans="1:33" s="22" customFormat="1" ht="15" customHeight="1">
      <c r="A660" s="7" t="s">
        <v>47</v>
      </c>
      <c r="B660" s="29"/>
      <c r="C660" s="29"/>
      <c r="D660" s="34"/>
      <c r="E660" s="36"/>
      <c r="F660" s="34"/>
      <c r="G660" s="34"/>
      <c r="H660" s="34"/>
      <c r="I660" s="34"/>
      <c r="J660" s="34"/>
      <c r="K660" s="34"/>
      <c r="L660" s="34"/>
      <c r="M660" s="30"/>
      <c r="N660" s="36"/>
      <c r="O660" s="34"/>
      <c r="P660" s="202"/>
      <c r="Q660" s="202"/>
      <c r="R660" s="202"/>
      <c r="S660" s="202"/>
      <c r="T660" s="92"/>
      <c r="U660" s="208"/>
      <c r="V660" s="202"/>
      <c r="W660" s="74"/>
      <c r="X660" s="74"/>
      <c r="Y660" s="30"/>
      <c r="Z660" s="109"/>
      <c r="AA660"/>
      <c r="AB660" s="218" t="s">
        <v>149</v>
      </c>
    </row>
    <row r="661" spans="1:33" s="22" customFormat="1" ht="15" customHeight="1">
      <c r="A661" s="9" t="s">
        <v>39</v>
      </c>
      <c r="B661" s="142"/>
      <c r="C661" s="142"/>
      <c r="D661" s="143"/>
      <c r="E661" s="144"/>
      <c r="F661" s="143"/>
      <c r="G661" s="143"/>
      <c r="H661" s="143"/>
      <c r="I661" s="143"/>
      <c r="J661" s="143"/>
      <c r="K661" s="143"/>
      <c r="L661" s="143"/>
      <c r="M661" s="147"/>
      <c r="N661" s="144"/>
      <c r="O661" s="143"/>
      <c r="P661" s="210"/>
      <c r="Q661" s="210"/>
      <c r="R661" s="210"/>
      <c r="S661" s="210"/>
      <c r="T661" s="166"/>
      <c r="U661" s="164"/>
      <c r="V661" s="210"/>
      <c r="W661" s="145"/>
      <c r="X661" s="151"/>
      <c r="Y661" s="147"/>
      <c r="Z661" s="146"/>
      <c r="AA661"/>
      <c r="AB661" s="221" t="s">
        <v>405</v>
      </c>
    </row>
    <row r="662" spans="1:33" s="22" customFormat="1" ht="15" customHeight="1">
      <c r="A662" s="7" t="s">
        <v>49</v>
      </c>
      <c r="B662" s="29"/>
      <c r="C662" s="29"/>
      <c r="D662" s="34"/>
      <c r="E662" s="36"/>
      <c r="F662" s="34"/>
      <c r="G662" s="34"/>
      <c r="H662" s="34"/>
      <c r="I662" s="34"/>
      <c r="J662" s="34"/>
      <c r="K662" s="34"/>
      <c r="L662" s="34"/>
      <c r="M662" s="206"/>
      <c r="N662" s="36"/>
      <c r="O662" s="34"/>
      <c r="P662" s="202"/>
      <c r="Q662" s="202"/>
      <c r="R662" s="202"/>
      <c r="S662" s="202"/>
      <c r="T662" s="92"/>
      <c r="U662" s="207"/>
      <c r="V662" s="202"/>
      <c r="W662" s="74"/>
      <c r="X662" s="233"/>
      <c r="Y662" s="206"/>
      <c r="Z662" s="109"/>
      <c r="AA662"/>
    </row>
    <row r="663" spans="1:33" s="22" customFormat="1" ht="15" customHeight="1">
      <c r="A663" s="9" t="s">
        <v>41</v>
      </c>
      <c r="B663" s="142"/>
      <c r="C663" s="142"/>
      <c r="D663" s="143"/>
      <c r="E663" s="144"/>
      <c r="F663" s="143"/>
      <c r="G663" s="143"/>
      <c r="H663" s="143"/>
      <c r="I663" s="143"/>
      <c r="J663" s="143"/>
      <c r="K663" s="143"/>
      <c r="L663" s="143"/>
      <c r="M663" s="141"/>
      <c r="N663" s="144"/>
      <c r="O663" s="143"/>
      <c r="P663" s="210"/>
      <c r="Q663" s="210"/>
      <c r="R663" s="210"/>
      <c r="S663" s="210"/>
      <c r="T663" s="166"/>
      <c r="U663" s="170"/>
      <c r="V663" s="210"/>
      <c r="W663" s="145"/>
      <c r="X663" s="145"/>
      <c r="Y663" s="141"/>
      <c r="Z663" s="146"/>
      <c r="AA663" s="1"/>
    </row>
    <row r="664" spans="1:33" s="22" customFormat="1" ht="15" customHeight="1">
      <c r="A664" s="7" t="s">
        <v>53</v>
      </c>
      <c r="B664" s="29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1"/>
      <c r="N664" s="36"/>
      <c r="O664" s="34"/>
      <c r="P664" s="202"/>
      <c r="Q664" s="202"/>
      <c r="R664" s="202"/>
      <c r="S664" s="202"/>
      <c r="T664" s="92"/>
      <c r="U664" s="88"/>
      <c r="V664" s="202"/>
      <c r="W664" s="74"/>
      <c r="X664" s="74"/>
      <c r="Y664" s="31"/>
      <c r="Z664" s="109"/>
      <c r="AA664" s="1"/>
    </row>
    <row r="665" spans="1:33" s="22" customFormat="1" ht="15" customHeight="1">
      <c r="A665" s="9" t="s">
        <v>52</v>
      </c>
      <c r="B665" s="142"/>
      <c r="C665" s="142"/>
      <c r="D665" s="143"/>
      <c r="E665" s="144"/>
      <c r="F665" s="143"/>
      <c r="G665" s="143"/>
      <c r="H665" s="143"/>
      <c r="I665" s="143"/>
      <c r="J665" s="143"/>
      <c r="K665" s="143"/>
      <c r="L665" s="143"/>
      <c r="M665" s="141"/>
      <c r="N665" s="144"/>
      <c r="O665" s="143"/>
      <c r="P665" s="210"/>
      <c r="Q665" s="210"/>
      <c r="R665" s="210"/>
      <c r="S665" s="210"/>
      <c r="T665" s="166"/>
      <c r="U665" s="166"/>
      <c r="V665" s="210"/>
      <c r="W665" s="145"/>
      <c r="X665" s="145"/>
      <c r="Y665" s="141"/>
      <c r="Z665" s="146"/>
    </row>
    <row r="666" spans="1:33" s="22" customFormat="1" ht="15" customHeight="1">
      <c r="A666" s="7" t="s">
        <v>46</v>
      </c>
      <c r="B666" s="29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1"/>
      <c r="N666" s="36"/>
      <c r="O666" s="34"/>
      <c r="P666" s="202"/>
      <c r="Q666" s="202"/>
      <c r="R666" s="202"/>
      <c r="S666" s="202"/>
      <c r="T666" s="92"/>
      <c r="U666" s="92"/>
      <c r="V666" s="202"/>
      <c r="W666" s="74"/>
      <c r="X666" s="74"/>
      <c r="Y666" s="31"/>
      <c r="Z666" s="109"/>
    </row>
    <row r="667" spans="1:33" s="22" customFormat="1" ht="15" customHeight="1">
      <c r="A667" s="9" t="s">
        <v>35</v>
      </c>
      <c r="B667" s="142"/>
      <c r="C667" s="142"/>
      <c r="D667" s="143"/>
      <c r="E667" s="144"/>
      <c r="F667" s="143"/>
      <c r="G667" s="143"/>
      <c r="H667" s="143"/>
      <c r="I667" s="143"/>
      <c r="J667" s="143"/>
      <c r="K667" s="143"/>
      <c r="L667" s="143"/>
      <c r="M667" s="141"/>
      <c r="N667" s="144"/>
      <c r="O667" s="143"/>
      <c r="P667" s="210"/>
      <c r="Q667" s="210"/>
      <c r="R667" s="210"/>
      <c r="S667" s="210"/>
      <c r="T667" s="166"/>
      <c r="U667" s="170"/>
      <c r="V667" s="210"/>
      <c r="W667" s="145"/>
      <c r="X667" s="145"/>
      <c r="Y667" s="141"/>
      <c r="Z667" s="146"/>
    </row>
    <row r="668" spans="1:33" s="22" customFormat="1" ht="15" customHeight="1">
      <c r="A668" s="7" t="s">
        <v>33</v>
      </c>
      <c r="B668" s="29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1"/>
      <c r="N668" s="36"/>
      <c r="O668" s="34"/>
      <c r="P668" s="202"/>
      <c r="Q668" s="202"/>
      <c r="R668" s="202"/>
      <c r="S668" s="202"/>
      <c r="T668" s="92"/>
      <c r="U668" s="88"/>
      <c r="V668" s="202"/>
      <c r="W668" s="74"/>
      <c r="X668" s="74"/>
      <c r="Y668" s="31"/>
      <c r="Z668" s="109"/>
    </row>
    <row r="669" spans="1:33" ht="15" customHeight="1">
      <c r="A669" s="9" t="s">
        <v>32</v>
      </c>
      <c r="B669" s="28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0"/>
      <c r="N669" s="37"/>
      <c r="O669" s="33"/>
      <c r="P669" s="201"/>
      <c r="Q669" s="201"/>
      <c r="R669" s="201"/>
      <c r="S669" s="201"/>
      <c r="T669" s="90"/>
      <c r="U669" s="90"/>
      <c r="V669" s="201"/>
      <c r="W669" s="75"/>
      <c r="X669" s="75"/>
      <c r="Y669" s="30"/>
      <c r="AC669" s="22"/>
    </row>
    <row r="670" spans="1:33" s="22" customFormat="1" ht="15" customHeight="1">
      <c r="A670" s="7" t="s">
        <v>34</v>
      </c>
      <c r="B670" s="148"/>
      <c r="C670" s="148"/>
      <c r="D670" s="149"/>
      <c r="E670" s="150"/>
      <c r="F670" s="149"/>
      <c r="G670" s="149"/>
      <c r="H670" s="149"/>
      <c r="I670" s="149"/>
      <c r="J670" s="149"/>
      <c r="K670" s="149"/>
      <c r="L670" s="149"/>
      <c r="M670" s="147"/>
      <c r="N670" s="150"/>
      <c r="O670" s="149"/>
      <c r="P670" s="209"/>
      <c r="Q670" s="209"/>
      <c r="R670" s="209"/>
      <c r="S670" s="209"/>
      <c r="T670" s="164"/>
      <c r="U670" s="164"/>
      <c r="V670" s="209"/>
      <c r="W670" s="151"/>
      <c r="X670" s="151"/>
      <c r="Y670" s="147"/>
    </row>
    <row r="671" spans="1:33" s="22" customFormat="1" ht="15" customHeight="1">
      <c r="A671" s="9" t="s">
        <v>58</v>
      </c>
      <c r="B671" s="142"/>
      <c r="C671" s="142"/>
      <c r="D671" s="143"/>
      <c r="E671" s="144"/>
      <c r="F671" s="143"/>
      <c r="G671" s="143"/>
      <c r="H671" s="143"/>
      <c r="I671" s="143"/>
      <c r="J671" s="143"/>
      <c r="K671" s="143"/>
      <c r="L671" s="143"/>
      <c r="M671" s="141"/>
      <c r="N671" s="144"/>
      <c r="O671" s="143"/>
      <c r="P671" s="210"/>
      <c r="Q671" s="210"/>
      <c r="R671" s="210"/>
      <c r="S671" s="210"/>
      <c r="T671" s="166"/>
      <c r="U671" s="170"/>
      <c r="V671" s="210"/>
      <c r="W671" s="145"/>
      <c r="X671" s="145"/>
      <c r="Y671" s="141"/>
      <c r="Z671" s="152"/>
      <c r="AD671" s="27"/>
      <c r="AE671" s="132"/>
      <c r="AF671" s="132"/>
      <c r="AG671" s="132"/>
    </row>
    <row r="672" spans="1:33" s="22" customFormat="1" ht="15" customHeight="1">
      <c r="A672" s="7" t="s">
        <v>42</v>
      </c>
      <c r="B672" s="29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1"/>
      <c r="N672" s="36"/>
      <c r="O672" s="34"/>
      <c r="P672" s="202"/>
      <c r="Q672" s="202"/>
      <c r="R672" s="202"/>
      <c r="S672" s="202"/>
      <c r="T672" s="92"/>
      <c r="U672" s="88"/>
      <c r="V672" s="202"/>
      <c r="W672" s="74"/>
      <c r="X672" s="74"/>
      <c r="Y672" s="31"/>
      <c r="Z672" s="140"/>
      <c r="AC672" s="1"/>
      <c r="AD672"/>
      <c r="AE672" s="134"/>
      <c r="AF672" s="134"/>
      <c r="AG672" s="134"/>
    </row>
    <row r="673" spans="1:33" s="22" customFormat="1" ht="15" customHeight="1">
      <c r="A673" s="49">
        <f>+A658+1</f>
        <v>46020</v>
      </c>
      <c r="B673" s="25"/>
      <c r="C673" s="25"/>
      <c r="D673" s="25"/>
      <c r="E673" s="25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140"/>
      <c r="AD673"/>
      <c r="AE673" s="134"/>
      <c r="AF673" s="134"/>
      <c r="AG673" s="134"/>
    </row>
    <row r="674" spans="1:33" s="22" customFormat="1" ht="15" customHeight="1">
      <c r="A674" s="9" t="s">
        <v>44</v>
      </c>
      <c r="B674" s="29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0"/>
      <c r="N674" s="36"/>
      <c r="O674" s="34"/>
      <c r="P674" s="202"/>
      <c r="Q674" s="202"/>
      <c r="R674" s="202"/>
      <c r="S674" s="205"/>
      <c r="T674" s="92"/>
      <c r="U674" s="90"/>
      <c r="V674" s="205"/>
      <c r="W674" s="125"/>
      <c r="X674" s="125"/>
      <c r="Y674" s="30"/>
      <c r="Z674" s="140"/>
      <c r="AB674" s="1"/>
      <c r="AD674"/>
      <c r="AE674" s="134"/>
      <c r="AF674" s="134"/>
      <c r="AG674" s="134"/>
    </row>
    <row r="675" spans="1:33" s="22" customFormat="1" ht="15" customHeight="1">
      <c r="A675" s="51" t="s">
        <v>54</v>
      </c>
      <c r="B675" s="142"/>
      <c r="C675" s="142"/>
      <c r="D675" s="143"/>
      <c r="E675" s="144"/>
      <c r="F675" s="143"/>
      <c r="G675" s="143"/>
      <c r="H675" s="143"/>
      <c r="I675" s="143"/>
      <c r="J675" s="143"/>
      <c r="K675" s="143"/>
      <c r="L675" s="143"/>
      <c r="M675" s="143"/>
      <c r="N675" s="144"/>
      <c r="O675" s="143"/>
      <c r="P675" s="210"/>
      <c r="Q675" s="210"/>
      <c r="R675" s="210"/>
      <c r="S675" s="210"/>
      <c r="T675" s="166"/>
      <c r="U675" s="170"/>
      <c r="V675" s="210"/>
      <c r="W675" s="166"/>
      <c r="X675" s="166"/>
      <c r="Y675" s="144"/>
      <c r="Z675" s="152"/>
      <c r="AD675" s="27"/>
      <c r="AE675" s="132"/>
      <c r="AF675" s="132"/>
      <c r="AG675" s="132"/>
    </row>
    <row r="676" spans="1:33" s="22" customFormat="1" ht="1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18"/>
      <c r="M676" s="26"/>
      <c r="N676" s="26"/>
      <c r="O676" s="18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140"/>
      <c r="AD676"/>
      <c r="AE676" s="134"/>
      <c r="AF676" s="134"/>
      <c r="AG676" s="134"/>
    </row>
    <row r="677" spans="1:33" ht="15" customHeight="1">
      <c r="A677" s="11" t="s">
        <v>22</v>
      </c>
      <c r="B677" s="2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40"/>
      <c r="AB677" s="22"/>
      <c r="AC677" s="22"/>
      <c r="AD677"/>
      <c r="AE677" s="134"/>
      <c r="AF677" s="134"/>
      <c r="AG677" s="134"/>
    </row>
    <row r="678" spans="1:33" ht="15" customHeight="1">
      <c r="A678" s="11"/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40"/>
      <c r="AB678" s="22"/>
      <c r="AC678" s="22"/>
      <c r="AD678"/>
      <c r="AE678" s="134"/>
      <c r="AF678" s="134"/>
      <c r="AG678" s="134"/>
    </row>
    <row r="679" spans="1:33" ht="15" customHeight="1">
      <c r="A679" s="13" t="s">
        <v>23</v>
      </c>
      <c r="B679" s="2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40"/>
      <c r="AA679"/>
      <c r="AB679" s="22"/>
      <c r="AC679" s="22"/>
      <c r="AD679"/>
      <c r="AE679" s="134"/>
      <c r="AF679" s="134"/>
      <c r="AG679" s="134"/>
    </row>
    <row r="680" spans="1:33" ht="15" customHeight="1">
      <c r="A680" s="13"/>
      <c r="B680" s="2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140"/>
      <c r="AA680"/>
      <c r="AB680" s="22"/>
      <c r="AD680" s="134"/>
      <c r="AE680" s="134"/>
      <c r="AF680" s="134"/>
      <c r="AG680" s="134"/>
    </row>
    <row r="681" spans="1:33" ht="15" customHeight="1">
      <c r="A681" s="13" t="s">
        <v>27</v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40"/>
      <c r="AA681"/>
      <c r="AB681" s="22"/>
      <c r="AD681" s="134"/>
      <c r="AE681" s="134"/>
      <c r="AF681" s="134"/>
      <c r="AG681" s="134"/>
    </row>
    <row r="682" spans="1:33" ht="15" customHeight="1" thickBot="1">
      <c r="A682" s="55">
        <f>+A647+7</f>
        <v>46025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140"/>
      <c r="AA682"/>
      <c r="AB682" s="22"/>
      <c r="AC682" s="134"/>
      <c r="AD682"/>
      <c r="AE682" s="134"/>
      <c r="AF682" s="134"/>
      <c r="AG682" s="134"/>
    </row>
    <row r="683" spans="1:33" s="22" customFormat="1" ht="15" customHeight="1">
      <c r="A683" s="9" t="s">
        <v>35</v>
      </c>
      <c r="B683" s="143"/>
      <c r="C683" s="142"/>
      <c r="D683" s="143"/>
      <c r="E683" s="143"/>
      <c r="F683" s="143"/>
      <c r="G683" s="143"/>
      <c r="H683" s="143"/>
      <c r="I683" s="143"/>
      <c r="J683" s="143"/>
      <c r="K683" s="143"/>
      <c r="L683" s="143"/>
      <c r="M683" s="142"/>
      <c r="N683" s="144"/>
      <c r="O683" s="143"/>
      <c r="P683" s="144"/>
      <c r="Q683" s="144"/>
      <c r="R683" s="144"/>
      <c r="S683" s="144"/>
      <c r="T683" s="166"/>
      <c r="U683" s="142"/>
      <c r="V683" s="144"/>
      <c r="W683" s="145"/>
      <c r="X683" s="231"/>
      <c r="Y683" s="142"/>
      <c r="Z683" s="146"/>
      <c r="AA683" s="1"/>
      <c r="AB683" s="220" t="s">
        <v>27</v>
      </c>
      <c r="AC683" s="134"/>
    </row>
    <row r="684" spans="1:33" s="22" customFormat="1" ht="15" customHeight="1">
      <c r="A684" s="7" t="s">
        <v>54</v>
      </c>
      <c r="B684" s="34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29"/>
      <c r="N684" s="36"/>
      <c r="O684" s="34"/>
      <c r="P684" s="136"/>
      <c r="Q684" s="136"/>
      <c r="R684" s="136"/>
      <c r="S684" s="136"/>
      <c r="T684" s="92"/>
      <c r="U684" s="29"/>
      <c r="V684" s="202"/>
      <c r="W684" s="74"/>
      <c r="X684" s="232"/>
      <c r="Y684" s="29"/>
      <c r="Z684" s="109"/>
      <c r="AA684" s="1"/>
      <c r="AB684" s="218" t="s">
        <v>406</v>
      </c>
      <c r="AC684" s="134"/>
    </row>
    <row r="685" spans="1:33" s="22" customFormat="1" ht="15" customHeight="1">
      <c r="A685" s="9" t="s">
        <v>46</v>
      </c>
      <c r="B685" s="33"/>
      <c r="C685" s="28"/>
      <c r="D685" s="33"/>
      <c r="E685" s="33"/>
      <c r="F685" s="33"/>
      <c r="G685" s="33"/>
      <c r="H685" s="33"/>
      <c r="I685" s="33"/>
      <c r="J685" s="33"/>
      <c r="K685" s="33"/>
      <c r="L685" s="33"/>
      <c r="M685" s="28"/>
      <c r="N685" s="37"/>
      <c r="O685" s="33"/>
      <c r="P685" s="135"/>
      <c r="Q685" s="135"/>
      <c r="R685" s="135"/>
      <c r="S685" s="135"/>
      <c r="T685" s="90"/>
      <c r="U685" s="28"/>
      <c r="V685" s="201"/>
      <c r="W685" s="75"/>
      <c r="X685" s="234"/>
      <c r="Y685" s="28"/>
      <c r="Z685" s="109"/>
      <c r="AA685" s="1"/>
      <c r="AB685" s="221" t="s">
        <v>75</v>
      </c>
      <c r="AC685" s="134"/>
    </row>
    <row r="686" spans="1:33" s="22" customFormat="1" ht="15" customHeight="1">
      <c r="A686" s="7" t="s">
        <v>34</v>
      </c>
      <c r="B686" s="149"/>
      <c r="C686" s="148"/>
      <c r="D686" s="149"/>
      <c r="E686" s="149"/>
      <c r="F686" s="149"/>
      <c r="G686" s="149"/>
      <c r="H686" s="149"/>
      <c r="I686" s="149"/>
      <c r="J686" s="149"/>
      <c r="K686" s="149"/>
      <c r="L686" s="149"/>
      <c r="M686" s="148"/>
      <c r="N686" s="150"/>
      <c r="O686" s="149"/>
      <c r="P686" s="150"/>
      <c r="Q686" s="150"/>
      <c r="R686" s="150"/>
      <c r="S686" s="150"/>
      <c r="T686" s="164"/>
      <c r="U686" s="148"/>
      <c r="V686" s="150"/>
      <c r="W686" s="151"/>
      <c r="X686" s="228"/>
      <c r="Y686" s="148"/>
      <c r="Z686" s="146"/>
      <c r="AA686" s="1"/>
      <c r="AB686" s="221" t="s">
        <v>86</v>
      </c>
    </row>
    <row r="687" spans="1:33" s="22" customFormat="1" ht="15" customHeight="1">
      <c r="A687" s="9" t="s">
        <v>55</v>
      </c>
      <c r="B687" s="143"/>
      <c r="C687" s="142"/>
      <c r="D687" s="143"/>
      <c r="E687" s="143"/>
      <c r="F687" s="143"/>
      <c r="G687" s="143"/>
      <c r="H687" s="143"/>
      <c r="I687" s="143"/>
      <c r="J687" s="143"/>
      <c r="K687" s="143"/>
      <c r="L687" s="143"/>
      <c r="M687" s="142"/>
      <c r="N687" s="144"/>
      <c r="O687" s="143"/>
      <c r="P687" s="144"/>
      <c r="Q687" s="144"/>
      <c r="R687" s="144"/>
      <c r="S687" s="144"/>
      <c r="T687" s="166"/>
      <c r="U687" s="142"/>
      <c r="V687" s="144"/>
      <c r="W687" s="145"/>
      <c r="X687" s="231"/>
      <c r="Y687" s="142"/>
      <c r="Z687" s="146"/>
      <c r="AB687" s="221" t="s">
        <v>84</v>
      </c>
    </row>
    <row r="688" spans="1:33" s="26" customFormat="1" ht="15" customHeight="1">
      <c r="A688" s="14" t="s">
        <v>58</v>
      </c>
      <c r="B688" s="34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29"/>
      <c r="N688" s="36"/>
      <c r="O688" s="34"/>
      <c r="P688" s="136"/>
      <c r="Q688" s="136"/>
      <c r="R688" s="136"/>
      <c r="S688" s="136"/>
      <c r="T688" s="92"/>
      <c r="U688" s="29"/>
      <c r="V688" s="202"/>
      <c r="W688" s="74"/>
      <c r="X688" s="232"/>
      <c r="Y688" s="29"/>
      <c r="Z688" s="109"/>
      <c r="AA688" s="22"/>
      <c r="AB688" s="221" t="s">
        <v>83</v>
      </c>
      <c r="AC688" s="22"/>
    </row>
    <row r="689" spans="1:29" s="22" customFormat="1" ht="15" customHeight="1">
      <c r="A689" s="9" t="s">
        <v>47</v>
      </c>
      <c r="B689" s="33"/>
      <c r="C689" s="28"/>
      <c r="D689" s="33"/>
      <c r="E689" s="33"/>
      <c r="F689" s="33"/>
      <c r="G689" s="33"/>
      <c r="H689" s="33"/>
      <c r="I689" s="33"/>
      <c r="J689" s="33"/>
      <c r="K689" s="33"/>
      <c r="L689" s="33"/>
      <c r="M689" s="28"/>
      <c r="N689" s="37"/>
      <c r="O689" s="33"/>
      <c r="P689" s="135"/>
      <c r="Q689" s="135"/>
      <c r="R689" s="135"/>
      <c r="S689" s="135"/>
      <c r="T689" s="90"/>
      <c r="U689" s="28"/>
      <c r="V689" s="201"/>
      <c r="W689" s="75"/>
      <c r="X689" s="234"/>
      <c r="Y689" s="28"/>
      <c r="Z689" s="109"/>
      <c r="AA689" s="1"/>
      <c r="AB689" s="221" t="s">
        <v>77</v>
      </c>
    </row>
    <row r="690" spans="1:29" s="22" customFormat="1" ht="15" customHeight="1">
      <c r="A690" s="7" t="s">
        <v>57</v>
      </c>
      <c r="B690" s="149"/>
      <c r="C690" s="148"/>
      <c r="D690" s="149"/>
      <c r="E690" s="149"/>
      <c r="F690" s="149"/>
      <c r="G690" s="149"/>
      <c r="H690" s="149"/>
      <c r="I690" s="149"/>
      <c r="J690" s="149"/>
      <c r="K690" s="149"/>
      <c r="L690" s="149"/>
      <c r="M690" s="148"/>
      <c r="N690" s="150"/>
      <c r="O690" s="149"/>
      <c r="P690" s="150"/>
      <c r="Q690" s="150"/>
      <c r="R690" s="150"/>
      <c r="S690" s="150"/>
      <c r="T690" s="164"/>
      <c r="U690" s="148"/>
      <c r="V690" s="150"/>
      <c r="W690" s="151"/>
      <c r="X690" s="228"/>
      <c r="Y690" s="148"/>
      <c r="Z690" s="146"/>
      <c r="AA690" s="146"/>
      <c r="AB690" s="221" t="s">
        <v>78</v>
      </c>
      <c r="AC690" s="1"/>
    </row>
    <row r="691" spans="1:29" s="22" customFormat="1" ht="15" customHeight="1">
      <c r="A691" s="9" t="s">
        <v>29</v>
      </c>
      <c r="B691" s="143"/>
      <c r="C691" s="142"/>
      <c r="D691" s="143"/>
      <c r="E691" s="143"/>
      <c r="F691" s="143"/>
      <c r="G691" s="143"/>
      <c r="H691" s="143"/>
      <c r="I691" s="143"/>
      <c r="J691" s="143"/>
      <c r="K691" s="143"/>
      <c r="L691" s="143"/>
      <c r="M691" s="142"/>
      <c r="N691" s="144"/>
      <c r="O691" s="143"/>
      <c r="P691" s="144"/>
      <c r="Q691" s="144"/>
      <c r="R691" s="144"/>
      <c r="S691" s="144"/>
      <c r="T691" s="166"/>
      <c r="U691" s="142"/>
      <c r="V691" s="144"/>
      <c r="W691" s="145"/>
      <c r="X691" s="231"/>
      <c r="Y691" s="142"/>
      <c r="Z691" s="146"/>
      <c r="AA691" s="109"/>
      <c r="AB691" s="221" t="s">
        <v>87</v>
      </c>
    </row>
    <row r="692" spans="1:29" s="22" customFormat="1" ht="15" customHeight="1">
      <c r="A692" s="7" t="s">
        <v>38</v>
      </c>
      <c r="B692" s="34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29"/>
      <c r="N692" s="36"/>
      <c r="O692" s="34"/>
      <c r="P692" s="136"/>
      <c r="Q692" s="136"/>
      <c r="R692" s="136"/>
      <c r="S692" s="136"/>
      <c r="T692" s="92"/>
      <c r="U692" s="29"/>
      <c r="V692" s="202"/>
      <c r="W692" s="74"/>
      <c r="X692" s="232"/>
      <c r="Y692" s="29"/>
      <c r="Z692" s="109"/>
      <c r="AA692" s="109"/>
      <c r="AB692" s="221" t="s">
        <v>85</v>
      </c>
      <c r="AC692" s="132"/>
    </row>
    <row r="693" spans="1:29" s="22" customFormat="1" ht="15" customHeight="1">
      <c r="A693" s="9" t="s">
        <v>49</v>
      </c>
      <c r="B693" s="33"/>
      <c r="C693" s="28"/>
      <c r="D693" s="33"/>
      <c r="E693" s="33"/>
      <c r="F693" s="33"/>
      <c r="G693" s="33"/>
      <c r="H693" s="33"/>
      <c r="I693" s="33"/>
      <c r="J693" s="33"/>
      <c r="K693" s="33"/>
      <c r="L693" s="33"/>
      <c r="M693" s="28"/>
      <c r="N693" s="37"/>
      <c r="O693" s="33"/>
      <c r="P693" s="135"/>
      <c r="Q693" s="135"/>
      <c r="R693" s="135"/>
      <c r="S693" s="135"/>
      <c r="T693" s="90"/>
      <c r="U693" s="28"/>
      <c r="V693" s="201"/>
      <c r="W693" s="75"/>
      <c r="X693" s="234"/>
      <c r="Y693" s="28"/>
      <c r="Z693" s="109"/>
      <c r="AA693" s="146"/>
      <c r="AB693" s="221" t="s">
        <v>79</v>
      </c>
      <c r="AC693" s="134"/>
    </row>
    <row r="694" spans="1:29" s="22" customFormat="1" ht="15" customHeight="1">
      <c r="A694" s="7" t="s">
        <v>50</v>
      </c>
      <c r="B694" s="34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29"/>
      <c r="N694" s="36"/>
      <c r="O694" s="34"/>
      <c r="P694" s="136"/>
      <c r="Q694" s="136"/>
      <c r="R694" s="136"/>
      <c r="S694" s="136"/>
      <c r="T694" s="92"/>
      <c r="U694" s="29"/>
      <c r="V694" s="202"/>
      <c r="W694" s="74"/>
      <c r="X694" s="232"/>
      <c r="Y694" s="29"/>
      <c r="Z694" s="109"/>
      <c r="AA694" s="109"/>
      <c r="AB694" s="221" t="s">
        <v>88</v>
      </c>
      <c r="AC694" s="132"/>
    </row>
    <row r="695" spans="1:29" s="22" customFormat="1" ht="15" customHeight="1">
      <c r="A695" s="9" t="s">
        <v>33</v>
      </c>
      <c r="B695" s="33"/>
      <c r="C695" s="28"/>
      <c r="D695" s="33"/>
      <c r="E695" s="33"/>
      <c r="F695" s="33"/>
      <c r="G695" s="33"/>
      <c r="H695" s="33"/>
      <c r="I695" s="33"/>
      <c r="J695" s="33"/>
      <c r="K695" s="33"/>
      <c r="L695" s="33"/>
      <c r="M695" s="28"/>
      <c r="N695" s="37"/>
      <c r="O695" s="33"/>
      <c r="P695" s="135"/>
      <c r="Q695" s="135"/>
      <c r="R695" s="135"/>
      <c r="S695" s="135"/>
      <c r="T695" s="90"/>
      <c r="U695" s="28"/>
      <c r="V695" s="201"/>
      <c r="W695" s="75"/>
      <c r="X695" s="234"/>
      <c r="Y695" s="28"/>
      <c r="Z695" s="109"/>
      <c r="AA695" s="146"/>
      <c r="AB695" s="221" t="s">
        <v>76</v>
      </c>
      <c r="AC695" s="134"/>
    </row>
    <row r="696" spans="1:29" s="22" customFormat="1" ht="15" customHeight="1">
      <c r="A696" s="7" t="s">
        <v>39</v>
      </c>
      <c r="B696" s="149"/>
      <c r="C696" s="148"/>
      <c r="D696" s="149"/>
      <c r="E696" s="149"/>
      <c r="F696" s="149"/>
      <c r="G696" s="149"/>
      <c r="H696" s="149"/>
      <c r="I696" s="149"/>
      <c r="J696" s="149"/>
      <c r="K696" s="149"/>
      <c r="L696" s="149"/>
      <c r="M696" s="148"/>
      <c r="N696" s="150"/>
      <c r="O696" s="149"/>
      <c r="P696" s="150"/>
      <c r="Q696" s="150"/>
      <c r="R696" s="150"/>
      <c r="S696" s="150"/>
      <c r="T696" s="164"/>
      <c r="U696" s="148"/>
      <c r="V696" s="150"/>
      <c r="W696" s="151"/>
      <c r="X696" s="228"/>
      <c r="Y696" s="148"/>
      <c r="Z696" s="146"/>
      <c r="AA696" s="109"/>
      <c r="AB696" s="221" t="s">
        <v>74</v>
      </c>
      <c r="AC696" s="134"/>
    </row>
    <row r="697" spans="1:29" s="22" customFormat="1" ht="15" customHeight="1">
      <c r="A697" s="9" t="s">
        <v>43</v>
      </c>
      <c r="B697" s="143"/>
      <c r="C697" s="142"/>
      <c r="D697" s="143"/>
      <c r="E697" s="143"/>
      <c r="F697" s="143"/>
      <c r="G697" s="143"/>
      <c r="H697" s="143"/>
      <c r="I697" s="143"/>
      <c r="J697" s="143"/>
      <c r="K697" s="143"/>
      <c r="L697" s="143"/>
      <c r="M697" s="142"/>
      <c r="N697" s="144"/>
      <c r="O697" s="143"/>
      <c r="P697" s="144"/>
      <c r="Q697" s="144"/>
      <c r="R697" s="144"/>
      <c r="S697" s="144"/>
      <c r="T697" s="166"/>
      <c r="U697" s="142"/>
      <c r="V697" s="144"/>
      <c r="W697" s="145"/>
      <c r="X697" s="231"/>
      <c r="Y697" s="142"/>
      <c r="Z697" s="146"/>
      <c r="AA697" s="146"/>
      <c r="AB697" s="221" t="s">
        <v>80</v>
      </c>
      <c r="AC697" s="132"/>
    </row>
    <row r="698" spans="1:29" ht="15" customHeight="1">
      <c r="A698" s="7" t="s">
        <v>44</v>
      </c>
      <c r="B698" s="34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29"/>
      <c r="N698" s="36"/>
      <c r="O698" s="34"/>
      <c r="P698" s="136"/>
      <c r="Q698" s="136"/>
      <c r="R698" s="136"/>
      <c r="S698" s="136"/>
      <c r="T698" s="92"/>
      <c r="U698" s="29"/>
      <c r="V698" s="202"/>
      <c r="W698" s="74"/>
      <c r="X698" s="232"/>
      <c r="Y698" s="29"/>
      <c r="Z698" s="109"/>
      <c r="AA698" s="146"/>
      <c r="AB698" s="221" t="s">
        <v>81</v>
      </c>
      <c r="AC698" s="134"/>
    </row>
    <row r="699" spans="1:29" s="22" customFormat="1" ht="15" customHeight="1">
      <c r="A699" s="9" t="s">
        <v>30</v>
      </c>
      <c r="B699" s="33"/>
      <c r="C699" s="28"/>
      <c r="D699" s="33"/>
      <c r="E699" s="33"/>
      <c r="F699" s="33"/>
      <c r="G699" s="33"/>
      <c r="H699" s="33"/>
      <c r="I699" s="33"/>
      <c r="J699" s="33"/>
      <c r="K699" s="33"/>
      <c r="L699" s="33"/>
      <c r="M699" s="28"/>
      <c r="N699" s="37"/>
      <c r="O699" s="33"/>
      <c r="P699" s="135"/>
      <c r="Q699" s="135"/>
      <c r="R699" s="135"/>
      <c r="S699" s="135"/>
      <c r="T699" s="90"/>
      <c r="U699" s="28"/>
      <c r="V699" s="201"/>
      <c r="W699" s="75"/>
      <c r="X699" s="234"/>
      <c r="Y699" s="28"/>
      <c r="Z699" s="110"/>
      <c r="AA699" s="109"/>
      <c r="AB699" s="221" t="s">
        <v>82</v>
      </c>
      <c r="AC699" s="134"/>
    </row>
    <row r="700" spans="1:29" s="22" customFormat="1" ht="15" customHeight="1">
      <c r="A700" s="7" t="s">
        <v>59</v>
      </c>
      <c r="B700" s="149"/>
      <c r="C700" s="148"/>
      <c r="D700" s="149"/>
      <c r="E700" s="149"/>
      <c r="F700" s="149"/>
      <c r="G700" s="149"/>
      <c r="H700" s="149"/>
      <c r="I700" s="149"/>
      <c r="J700" s="149"/>
      <c r="K700" s="149"/>
      <c r="L700" s="149"/>
      <c r="M700" s="148"/>
      <c r="N700" s="150"/>
      <c r="O700" s="149"/>
      <c r="P700" s="150"/>
      <c r="Q700" s="150"/>
      <c r="R700" s="150"/>
      <c r="S700" s="150"/>
      <c r="T700" s="164"/>
      <c r="U700" s="148"/>
      <c r="V700" s="150"/>
      <c r="W700" s="151"/>
      <c r="X700" s="228"/>
      <c r="Y700" s="148"/>
      <c r="Z700" s="212"/>
      <c r="AA700" s="146"/>
      <c r="AB700" s="221" t="s">
        <v>89</v>
      </c>
      <c r="AC700" s="132"/>
    </row>
    <row r="701" spans="1:29" s="22" customFormat="1" ht="15" customHeight="1">
      <c r="A701" s="9" t="s">
        <v>37</v>
      </c>
      <c r="B701" s="33"/>
      <c r="C701" s="28"/>
      <c r="D701" s="33"/>
      <c r="E701" s="33"/>
      <c r="F701" s="33"/>
      <c r="G701" s="33"/>
      <c r="H701" s="33"/>
      <c r="I701" s="33"/>
      <c r="J701" s="33"/>
      <c r="K701" s="33"/>
      <c r="L701" s="33"/>
      <c r="M701" s="28"/>
      <c r="N701" s="37"/>
      <c r="O701" s="33"/>
      <c r="P701" s="135"/>
      <c r="Q701" s="135"/>
      <c r="R701" s="135"/>
      <c r="S701" s="135"/>
      <c r="T701" s="90"/>
      <c r="U701" s="28"/>
      <c r="V701" s="201"/>
      <c r="W701" s="75"/>
      <c r="X701" s="234"/>
      <c r="Y701" s="28"/>
      <c r="Z701" s="211"/>
      <c r="AA701"/>
      <c r="AC701" s="134"/>
    </row>
    <row r="702" spans="1:29" s="22" customFormat="1" ht="15" customHeight="1">
      <c r="A702" s="7" t="s">
        <v>31</v>
      </c>
      <c r="B702" s="149"/>
      <c r="C702" s="148"/>
      <c r="D702" s="149"/>
      <c r="E702" s="149"/>
      <c r="F702" s="149"/>
      <c r="G702" s="149"/>
      <c r="H702" s="149"/>
      <c r="I702" s="149"/>
      <c r="J702" s="149"/>
      <c r="K702" s="149"/>
      <c r="L702" s="149"/>
      <c r="M702" s="148"/>
      <c r="N702" s="150"/>
      <c r="O702" s="149"/>
      <c r="P702" s="150"/>
      <c r="Q702" s="150"/>
      <c r="R702" s="150"/>
      <c r="S702" s="150"/>
      <c r="T702" s="164"/>
      <c r="U702" s="148"/>
      <c r="V702" s="150"/>
      <c r="W702" s="151"/>
      <c r="X702" s="228"/>
      <c r="Y702" s="148"/>
      <c r="Z702" s="213"/>
      <c r="AA702" s="27"/>
      <c r="AC702" s="134"/>
    </row>
    <row r="703" spans="1:29" s="22" customFormat="1" ht="15" customHeight="1">
      <c r="A703" s="9" t="s">
        <v>53</v>
      </c>
      <c r="B703" s="143"/>
      <c r="C703" s="142"/>
      <c r="D703" s="143"/>
      <c r="E703" s="143"/>
      <c r="F703" s="143"/>
      <c r="G703" s="143"/>
      <c r="H703" s="143"/>
      <c r="I703" s="143"/>
      <c r="J703" s="143"/>
      <c r="K703" s="143"/>
      <c r="L703" s="143"/>
      <c r="M703" s="142"/>
      <c r="N703" s="144"/>
      <c r="O703" s="143"/>
      <c r="P703" s="144"/>
      <c r="Q703" s="144"/>
      <c r="R703" s="144"/>
      <c r="S703" s="144"/>
      <c r="T703" s="166"/>
      <c r="U703" s="142"/>
      <c r="V703" s="144"/>
      <c r="W703" s="145"/>
      <c r="X703" s="231"/>
      <c r="Y703" s="142"/>
      <c r="Z703" s="213"/>
      <c r="AA703" s="27"/>
      <c r="AC703" s="134"/>
    </row>
    <row r="704" spans="1:29" s="22" customFormat="1" ht="15" customHeight="1">
      <c r="A704" s="7" t="s">
        <v>52</v>
      </c>
      <c r="B704" s="34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29"/>
      <c r="N704" s="36"/>
      <c r="O704" s="34"/>
      <c r="P704" s="136"/>
      <c r="Q704" s="136"/>
      <c r="R704" s="136"/>
      <c r="S704" s="136"/>
      <c r="T704" s="92"/>
      <c r="U704" s="29"/>
      <c r="V704" s="202"/>
      <c r="W704" s="74"/>
      <c r="X704" s="232"/>
      <c r="Y704" s="29"/>
      <c r="Z704" s="211"/>
      <c r="AA704"/>
    </row>
    <row r="705" spans="1:29" s="22" customFormat="1" ht="15" customHeight="1">
      <c r="A705" s="9" t="s">
        <v>60</v>
      </c>
      <c r="B705" s="143"/>
      <c r="C705" s="142"/>
      <c r="D705" s="143"/>
      <c r="E705" s="143"/>
      <c r="F705" s="143"/>
      <c r="G705" s="143"/>
      <c r="H705" s="143"/>
      <c r="I705" s="143"/>
      <c r="J705" s="143"/>
      <c r="K705" s="143"/>
      <c r="L705" s="143"/>
      <c r="M705" s="142"/>
      <c r="N705" s="144"/>
      <c r="O705" s="143"/>
      <c r="P705" s="144"/>
      <c r="Q705" s="144"/>
      <c r="R705" s="144"/>
      <c r="S705" s="144"/>
      <c r="T705" s="166"/>
      <c r="U705" s="142"/>
      <c r="V705" s="144"/>
      <c r="W705" s="145"/>
      <c r="X705" s="231"/>
      <c r="Y705" s="142"/>
      <c r="Z705" s="213"/>
      <c r="AA705" s="27"/>
    </row>
    <row r="706" spans="1:29" s="22" customFormat="1" ht="15" customHeight="1">
      <c r="A706" s="7" t="s">
        <v>36</v>
      </c>
      <c r="B706" s="34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29"/>
      <c r="N706" s="36"/>
      <c r="O706" s="34"/>
      <c r="P706" s="136"/>
      <c r="Q706" s="136"/>
      <c r="R706" s="136"/>
      <c r="S706" s="136"/>
      <c r="T706" s="92"/>
      <c r="U706" s="29"/>
      <c r="V706" s="202"/>
      <c r="W706" s="74"/>
      <c r="X706" s="232"/>
      <c r="Y706" s="29"/>
      <c r="Z706" s="211"/>
      <c r="AA706" s="1"/>
    </row>
    <row r="707" spans="1:29" s="22" customFormat="1" ht="15" customHeight="1">
      <c r="A707" s="9" t="s">
        <v>51</v>
      </c>
      <c r="B707" s="143"/>
      <c r="C707" s="142"/>
      <c r="D707" s="143"/>
      <c r="E707" s="143"/>
      <c r="F707" s="143"/>
      <c r="G707" s="143"/>
      <c r="H707" s="143"/>
      <c r="I707" s="143"/>
      <c r="J707" s="143"/>
      <c r="K707" s="143"/>
      <c r="L707" s="143"/>
      <c r="M707" s="142"/>
      <c r="N707" s="144"/>
      <c r="O707" s="143"/>
      <c r="P707" s="144"/>
      <c r="Q707" s="144"/>
      <c r="R707" s="144"/>
      <c r="S707" s="144"/>
      <c r="T707" s="166"/>
      <c r="U707" s="142"/>
      <c r="V707" s="144"/>
      <c r="W707" s="145"/>
      <c r="X707" s="231"/>
      <c r="Y707" s="142"/>
      <c r="Z707" s="213"/>
    </row>
    <row r="708" spans="1:29" s="22" customFormat="1" ht="15" customHeight="1">
      <c r="A708" s="7" t="s">
        <v>32</v>
      </c>
      <c r="B708" s="34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29"/>
      <c r="N708" s="36"/>
      <c r="O708" s="34"/>
      <c r="P708" s="136"/>
      <c r="Q708" s="136"/>
      <c r="R708" s="136"/>
      <c r="S708" s="136"/>
      <c r="T708" s="92"/>
      <c r="U708" s="29"/>
      <c r="V708" s="202"/>
      <c r="W708" s="74"/>
      <c r="X708" s="232"/>
      <c r="Y708" s="29"/>
      <c r="Z708" s="211"/>
    </row>
    <row r="709" spans="1:29" s="22" customFormat="1" ht="15" customHeight="1">
      <c r="A709" s="9" t="s">
        <v>45</v>
      </c>
      <c r="B709" s="33"/>
      <c r="C709" s="28"/>
      <c r="D709" s="33"/>
      <c r="E709" s="33"/>
      <c r="F709" s="33"/>
      <c r="G709" s="33"/>
      <c r="H709" s="33"/>
      <c r="I709" s="33"/>
      <c r="J709" s="33"/>
      <c r="K709" s="33"/>
      <c r="L709" s="33"/>
      <c r="M709" s="28"/>
      <c r="N709" s="37"/>
      <c r="O709" s="33"/>
      <c r="P709" s="135"/>
      <c r="Q709" s="135"/>
      <c r="R709" s="135"/>
      <c r="S709" s="135"/>
      <c r="T709" s="90"/>
      <c r="U709" s="28"/>
      <c r="V709" s="201"/>
      <c r="W709" s="75"/>
      <c r="X709" s="234"/>
      <c r="Y709" s="28"/>
      <c r="Z709" s="211"/>
    </row>
    <row r="710" spans="1:29" s="22" customFormat="1" ht="15" customHeight="1">
      <c r="A710" s="7" t="s">
        <v>56</v>
      </c>
      <c r="B710" s="149"/>
      <c r="C710" s="148"/>
      <c r="D710" s="149"/>
      <c r="E710" s="149"/>
      <c r="F710" s="149"/>
      <c r="G710" s="149"/>
      <c r="H710" s="149"/>
      <c r="I710" s="149"/>
      <c r="J710" s="149"/>
      <c r="K710" s="149"/>
      <c r="L710" s="149"/>
      <c r="M710" s="148"/>
      <c r="N710" s="150"/>
      <c r="O710" s="149"/>
      <c r="P710" s="150"/>
      <c r="Q710" s="150"/>
      <c r="R710" s="150"/>
      <c r="S710" s="150"/>
      <c r="T710" s="164"/>
      <c r="U710" s="148"/>
      <c r="V710" s="150"/>
      <c r="W710" s="151"/>
      <c r="X710" s="228"/>
      <c r="Y710" s="148"/>
      <c r="Z710" s="213"/>
    </row>
    <row r="711" spans="1:29" s="22" customFormat="1" ht="15" customHeight="1">
      <c r="A711" s="9" t="s">
        <v>40</v>
      </c>
      <c r="B711" s="143"/>
      <c r="C711" s="142"/>
      <c r="D711" s="143"/>
      <c r="E711" s="143"/>
      <c r="F711" s="143"/>
      <c r="G711" s="143"/>
      <c r="H711" s="143"/>
      <c r="I711" s="143"/>
      <c r="J711" s="143"/>
      <c r="K711" s="143"/>
      <c r="L711" s="143"/>
      <c r="M711" s="142"/>
      <c r="N711" s="144"/>
      <c r="O711" s="143"/>
      <c r="P711" s="144"/>
      <c r="Q711" s="144"/>
      <c r="R711" s="144"/>
      <c r="S711" s="144"/>
      <c r="T711" s="166"/>
      <c r="U711" s="142"/>
      <c r="V711" s="144"/>
      <c r="W711" s="145"/>
      <c r="X711" s="231"/>
      <c r="Y711" s="142"/>
      <c r="Z711" s="213"/>
    </row>
    <row r="712" spans="1:29" s="22" customFormat="1" ht="15" customHeight="1">
      <c r="A712" s="7" t="s">
        <v>42</v>
      </c>
      <c r="B712" s="34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29"/>
      <c r="N712" s="36"/>
      <c r="O712" s="34"/>
      <c r="P712" s="136"/>
      <c r="Q712" s="136"/>
      <c r="R712" s="136"/>
      <c r="S712" s="136"/>
      <c r="T712" s="92"/>
      <c r="U712" s="29"/>
      <c r="V712" s="202"/>
      <c r="W712" s="74"/>
      <c r="X712" s="232"/>
      <c r="Y712" s="29"/>
      <c r="Z712" s="211"/>
    </row>
    <row r="713" spans="1:29" s="22" customFormat="1" ht="15" customHeight="1">
      <c r="A713" s="6" t="s">
        <v>48</v>
      </c>
      <c r="B713" s="33"/>
      <c r="C713" s="28"/>
      <c r="D713" s="33"/>
      <c r="E713" s="33"/>
      <c r="F713" s="33"/>
      <c r="G713" s="33"/>
      <c r="H713" s="33"/>
      <c r="I713" s="33"/>
      <c r="J713" s="33"/>
      <c r="K713" s="33"/>
      <c r="L713" s="33"/>
      <c r="M713" s="28"/>
      <c r="N713" s="37"/>
      <c r="O713" s="33"/>
      <c r="P713" s="135"/>
      <c r="Q713" s="135"/>
      <c r="R713" s="135"/>
      <c r="S713" s="135"/>
      <c r="T713" s="90"/>
      <c r="U713" s="28"/>
      <c r="V713" s="201"/>
      <c r="W713" s="75"/>
      <c r="X713" s="234"/>
      <c r="Y713" s="28"/>
      <c r="Z713" s="211"/>
    </row>
    <row r="714" spans="1:29" s="22" customFormat="1" ht="15" customHeight="1">
      <c r="A714" s="114" t="s">
        <v>41</v>
      </c>
      <c r="B714" s="149"/>
      <c r="C714" s="148"/>
      <c r="D714" s="149"/>
      <c r="E714" s="149"/>
      <c r="F714" s="149"/>
      <c r="G714" s="149"/>
      <c r="H714" s="149"/>
      <c r="I714" s="149"/>
      <c r="J714" s="149"/>
      <c r="K714" s="149"/>
      <c r="L714" s="149"/>
      <c r="M714" s="148"/>
      <c r="N714" s="150"/>
      <c r="O714" s="149"/>
      <c r="P714" s="150"/>
      <c r="Q714" s="150"/>
      <c r="R714" s="150"/>
      <c r="S714" s="150"/>
      <c r="T714" s="164"/>
      <c r="U714" s="148"/>
      <c r="V714" s="150"/>
      <c r="W714" s="151"/>
      <c r="X714" s="228"/>
      <c r="Y714" s="148"/>
      <c r="Z714" s="213"/>
    </row>
    <row r="715" spans="1:29" s="22" customFormat="1" ht="15" customHeight="1" thickBot="1">
      <c r="A715" s="11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11"/>
    </row>
    <row r="716" spans="1:29" ht="15" customHeight="1" thickBot="1">
      <c r="A716" s="11" t="s">
        <v>22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6"/>
      <c r="N716" s="16"/>
      <c r="O716" s="16"/>
      <c r="P716" s="16"/>
      <c r="Q716" s="16"/>
      <c r="R716" s="16"/>
      <c r="S716" s="16"/>
      <c r="T716" s="16"/>
      <c r="U716" s="214"/>
      <c r="V716" s="16"/>
      <c r="W716" s="16"/>
      <c r="X716" s="16"/>
      <c r="Y716" s="16"/>
      <c r="Z716" s="198"/>
      <c r="AA716" s="22"/>
      <c r="AB716" s="22"/>
      <c r="AC716" s="22"/>
    </row>
    <row r="717" spans="1:29" ht="15" customHeight="1" thickBot="1">
      <c r="A717" s="1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2"/>
      <c r="AB717" s="22"/>
      <c r="AC717" s="22"/>
    </row>
    <row r="718" spans="1:29" ht="15" customHeight="1" thickBot="1">
      <c r="A718" s="16" t="s">
        <v>25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2"/>
      <c r="N718" s="102"/>
      <c r="O718" s="102"/>
      <c r="P718" s="102"/>
      <c r="Q718" s="102"/>
      <c r="R718" s="216"/>
      <c r="S718" s="102"/>
      <c r="T718" s="102"/>
      <c r="U718" s="102"/>
      <c r="V718" s="102"/>
      <c r="W718" s="216"/>
      <c r="X718" s="217"/>
      <c r="Y718" s="102"/>
      <c r="Z718" s="26"/>
      <c r="AA718" s="22"/>
      <c r="AB718" s="22"/>
      <c r="AC718" s="22"/>
    </row>
    <row r="719" spans="1:29" ht="1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2"/>
      <c r="AA719" s="22"/>
      <c r="AB719" s="22"/>
    </row>
    <row r="720" spans="1:29" ht="15" customHeight="1">
      <c r="A720" s="1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AB720" s="22"/>
    </row>
    <row r="721" spans="1:29" ht="15" customHeight="1">
      <c r="A721" s="16"/>
      <c r="C721" s="103"/>
      <c r="D721" s="103"/>
      <c r="Z721" s="22"/>
      <c r="AA721" s="22"/>
      <c r="AB721" s="22"/>
    </row>
    <row r="722" spans="1:29" s="104" customFormat="1" ht="15" customHeight="1">
      <c r="A722" s="106"/>
      <c r="C722" s="105"/>
      <c r="D722" s="105"/>
      <c r="Z722" s="1"/>
      <c r="AA722" s="1"/>
      <c r="AB722" s="22"/>
      <c r="AC722" s="1"/>
    </row>
    <row r="723" spans="1:29" ht="15" customHeight="1">
      <c r="Z723" s="22"/>
      <c r="AA723" s="22"/>
      <c r="AB723" s="22"/>
    </row>
    <row r="724" spans="1:29" ht="15" customHeight="1">
      <c r="Z724" s="22"/>
      <c r="AA724" s="22"/>
    </row>
    <row r="725" spans="1:29" ht="15" customHeight="1">
      <c r="AC725" s="104"/>
    </row>
    <row r="726" spans="1:29" ht="15" customHeight="1">
      <c r="AB726" s="22"/>
    </row>
    <row r="728" spans="1:29" ht="15" customHeight="1">
      <c r="E728" s="104"/>
    </row>
  </sheetData>
  <mergeCells count="13">
    <mergeCell ref="Z396:Z397"/>
    <mergeCell ref="B405:B406"/>
    <mergeCell ref="A2:S2"/>
    <mergeCell ref="A4:S4"/>
    <mergeCell ref="B178:B179"/>
    <mergeCell ref="B215:B216"/>
    <mergeCell ref="B139:B140"/>
    <mergeCell ref="B368:B369"/>
    <mergeCell ref="Z284:AA284"/>
    <mergeCell ref="Z206:AB206"/>
    <mergeCell ref="B14:B15"/>
    <mergeCell ref="B254:B255"/>
    <mergeCell ref="Z207:AB207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81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3"/>
      <c r="N2" s="383"/>
      <c r="O2" s="383"/>
      <c r="P2" s="383"/>
      <c r="Q2" s="383"/>
      <c r="R2" s="383"/>
      <c r="S2" s="383"/>
      <c r="T2" s="383"/>
      <c r="U2" s="383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81"/>
      <c r="B4" s="383"/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84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393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84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85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84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85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84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85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84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387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84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85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394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395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394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395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2025-11-20T23:51:40Z</dcterms:modified>
</cp:coreProperties>
</file>